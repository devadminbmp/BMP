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sks" sheetId="2" state="visible" r:id="rId4"/>
    <sheet name="Specs"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<sst xmlns="http://schemas.openxmlformats.org/spreadsheetml/2006/main" count="504" uniqueCount="229">
  <si>
    <t xml:space="preserve">BMP Project Dashboard</t>
  </si>
  <si>
    <t xml:space="preserve">Last updated:</t>
  </si>
  <si>
    <t xml:space="preserve">By Phase</t>
  </si>
  <si>
    <t xml:space="preserve">By Assignee</t>
  </si>
  <si>
    <t xml:space="preserve">Phase</t>
  </si>
  <si>
    <t xml:space="preserve">Open</t>
  </si>
  <si>
    <t xml:space="preserve">Done</t>
  </si>
  <si>
    <t xml:space="preserve">Assignee</t>
  </si>
  <si>
    <t xml:space="preserve">Phase 1: CRUD &amp; Basic Ops</t>
  </si>
  <si>
    <t xml:space="preserve">Darshan</t>
  </si>
  <si>
    <t xml:space="preserve">Phase 2: Availability Logic</t>
  </si>
  <si>
    <t xml:space="preserve">Shivam</t>
  </si>
  <si>
    <t xml:space="preserve">Phase 3: Inter-Service, Auth &amp; Integrations</t>
  </si>
  <si>
    <t xml:space="preserve">Achyuth</t>
  </si>
  <si>
    <t xml:space="preserve">Ongoing / Parallel</t>
  </si>
  <si>
    <t xml:space="preserve">All Founders</t>
  </si>
  <si>
    <t xml:space="preserve">Unassigned</t>
  </si>
  <si>
    <t xml:space="preserve">Phase 1 tasks remaining (start here)</t>
  </si>
  <si>
    <t xml:space="preserve">Total Backlog Items</t>
  </si>
  <si>
    <t xml:space="preserve">Order</t>
  </si>
  <si>
    <t xml:space="preserve">Task ID</t>
  </si>
  <si>
    <t xml:space="preserve">Title</t>
  </si>
  <si>
    <t xml:space="preserve">Short Description</t>
  </si>
  <si>
    <t xml:space="preserve">Difficulty</t>
  </si>
  <si>
    <t xml:space="preserve">Type</t>
  </si>
  <si>
    <t xml:space="preserve">Priority</t>
  </si>
  <si>
    <t xml:space="preserve">Status</t>
  </si>
  <si>
    <t xml:space="preserve">Created Date</t>
  </si>
  <si>
    <t xml:space="preserve">Due Date</t>
  </si>
  <si>
    <t xml:space="preserve">Completed Date</t>
  </si>
  <si>
    <t xml:space="preserve">Full Spec</t>
  </si>
  <si>
    <t xml:space="preserve">BMP-1</t>
  </si>
  <si>
    <t xml:space="preserve">Design bmp_staff table schema</t>
  </si>
  <si>
    <t xml:space="preserve">Define every column, type and constraint for admin_schema.bmp_staff. Fully separate from users table (no shared auth).</t>
  </si>
  <si>
    <t xml:space="preserve">Easy</t>
  </si>
  <si>
    <t xml:space="preserve">Design</t>
  </si>
  <si>
    <t xml:space="preserve">High</t>
  </si>
  <si>
    <t xml:space="preserve">To Do</t>
  </si>
  <si>
    <t xml:space="preserve">See 'Specs' sheet, row for BMP-1</t>
  </si>
  <si>
    <t xml:space="preserve">BMP-3</t>
  </si>
  <si>
    <t xml:space="preserve">Design audit_log table (append-only)</t>
  </si>
  <si>
    <t xml:space="preserve">Define columns for admin_schema.audit_log. Must be INSERT-only — DELETE/UPDATE revoked at DB level.</t>
  </si>
  <si>
    <t xml:space="preserve">See 'Specs' sheet, row for BMP-3</t>
  </si>
  <si>
    <t xml:space="preserve">BMP-2</t>
  </si>
  <si>
    <t xml:space="preserve">Design support_ticket + support_message schema</t>
  </si>
  <si>
    <t xml:space="preserve">Define columns for admin_schema.support_ticket and support_message — ticket lifecycle and threaded replies.</t>
  </si>
  <si>
    <t xml:space="preserve">See 'Specs' sheet, row for BMP-2</t>
  </si>
  <si>
    <t xml:space="preserve">BMP-6</t>
  </si>
  <si>
    <t xml:space="preserve">Design notification_log table</t>
  </si>
  <si>
    <t xml:space="preserve">Define the single stateless log table for the notification module — every WhatsApp/SMS/push send attempt.</t>
  </si>
  <si>
    <t xml:space="preserve">See 'Specs' sheet, row for BMP-6</t>
  </si>
  <si>
    <t xml:space="preserve">BMP-30</t>
  </si>
  <si>
    <t xml:space="preserve">CRUD: Notification log (bmp-notification)</t>
  </si>
  <si>
    <t xml:space="preserve">Migration V009 + a create/list API for notification_log entries — no actual WhatsApp/push send yet (that's Phase 3).</t>
  </si>
  <si>
    <t xml:space="preserve">Feature</t>
  </si>
  <si>
    <t xml:space="preserve">Low</t>
  </si>
  <si>
    <t xml:space="preserve">See 'Specs' sheet, row for BMP-30</t>
  </si>
  <si>
    <t xml:space="preserve">BMP-4</t>
  </si>
  <si>
    <t xml:space="preserve">Write Flyway migration for admin_schema</t>
  </si>
  <si>
    <t xml:space="preserve">Turn the locked BMP-1/2/3 column lists into a real Flyway SQL migration, including the audit_log REVOKE statement.</t>
  </si>
  <si>
    <t xml:space="preserve">Medium</t>
  </si>
  <si>
    <t xml:space="preserve">See 'Specs' sheet, row for BMP-4</t>
  </si>
  <si>
    <t xml:space="preserve">BMP-5</t>
  </si>
  <si>
    <t xml:space="preserve">ArchUnit test: bmp_staff isolation</t>
  </si>
  <si>
    <t xml:space="preserve">Automated test proving bmp_staff shares zero auth code/tables with user_schema.users — build fails if ever violated.</t>
  </si>
  <si>
    <t xml:space="preserve">Chore</t>
  </si>
  <si>
    <t xml:space="preserve">See 'Specs' sheet, row for BMP-5</t>
  </si>
  <si>
    <t xml:space="preserve">BMP-29</t>
  </si>
  <si>
    <t xml:space="preserve">CRUD: Admin module (bmp-admin)</t>
  </si>
  <si>
    <t xml:space="preserve">Basic CRUD REST layer on top of the V008 tables from BMP-4 (bmp_staff, support_ticket, support_message). audit_log is read + system-insert only.</t>
  </si>
  <si>
    <t xml:space="preserve">See 'Specs' sheet, row for BMP-29</t>
  </si>
  <si>
    <t xml:space="preserve">BMP-22</t>
  </si>
  <si>
    <t xml:space="preserve">CRUD: User module (bmp-user)</t>
  </si>
  <si>
    <t xml:space="preserve">Migration V002 + basic profile CRUD for users/user_roles. OTP login itself is out of scope here (Phase 3).</t>
  </si>
  <si>
    <t xml:space="preserve">See 'Specs' sheet, row for BMP-22</t>
  </si>
  <si>
    <t xml:space="preserve">BMP-27</t>
  </si>
  <si>
    <t xml:space="preserve">CRUD: Review module (bmp-review)</t>
  </si>
  <si>
    <t xml:space="preserve">Migration V007 (review half) + CRUD for review and salon_response. Rating snapshots (computed aggregates) are read-only, not user-editable.</t>
  </si>
  <si>
    <t xml:space="preserve">See 'Specs' sheet, row for BMP-27</t>
  </si>
  <si>
    <t xml:space="preserve">BMP-23</t>
  </si>
  <si>
    <t xml:space="preserve">CRUD: Salon core module (bmp-salon)</t>
  </si>
  <si>
    <t xml:space="preserve">Migration V003 (partial) + CRUD for salon, salon_policy, salon_hours, salon_service. Stylist tables are a separate ticket (BMP-24).</t>
  </si>
  <si>
    <t xml:space="preserve">See 'Specs' sheet, row for BMP-23</t>
  </si>
  <si>
    <t xml:space="preserve">BMP-28</t>
  </si>
  <si>
    <t xml:space="preserve">CRUD: Rewards module (bmp-rewards)</t>
  </si>
  <si>
    <t xml:space="preserve">Migration V007 (rewards half) + CRUD for coupon, wallet, referral_code. wallet_transaction is append-only, read-only via API.</t>
  </si>
  <si>
    <t xml:space="preserve">See 'Specs' sheet, row for BMP-28</t>
  </si>
  <si>
    <t xml:space="preserve">BMP-24</t>
  </si>
  <si>
    <t xml:space="preserve">CRUD: Stylist module (bmp-salon)</t>
  </si>
  <si>
    <t xml:space="preserve">CRUD for stylist, stylist_salon, stylist_service — the portable-identity tables. Same V003 migration as BMP-23.</t>
  </si>
  <si>
    <t xml:space="preserve">See 'Specs' sheet, row for BMP-24</t>
  </si>
  <si>
    <t xml:space="preserve">BMP-26</t>
  </si>
  <si>
    <t xml:space="preserve">CRUD: Payment order module (bmp-payment)</t>
  </si>
  <si>
    <t xml:space="preserve">Migration V006 (payment_order only) + basic CRUD, no real Razorpay call yet — order id is a local stub until Phase 3.</t>
  </si>
  <si>
    <t xml:space="preserve">See 'Specs' sheet, row for BMP-26</t>
  </si>
  <si>
    <t xml:space="preserve">BMP-25</t>
  </si>
  <si>
    <t xml:space="preserve">CRUD: Booking module (bmp-booking)</t>
  </si>
  <si>
    <t xml:space="preserve">Migration V005 (core 4 tables) + basic booking CRUD. Real webhook-driven confirmation is Phase 3 — this ticket allows manual status moves for local testing only.</t>
  </si>
  <si>
    <t xml:space="preserve">Hard</t>
  </si>
  <si>
    <t xml:space="preserve">See 'Specs' sheet, row for BMP-25</t>
  </si>
  <si>
    <t xml:space="preserve">BMP-10</t>
  </si>
  <si>
    <t xml:space="preserve">Collect real weekly schedules from 3 pilot salons</t>
  </si>
  <si>
    <t xml:space="preserve">Founder legwork: get actual stylist working weeks from 3 real salons — required raw input before the availability model can be designed.</t>
  </si>
  <si>
    <t xml:space="preserve">Research</t>
  </si>
  <si>
    <t xml:space="preserve">Critical</t>
  </si>
  <si>
    <t xml:space="preserve">See 'Specs' sheet, row for BMP-10</t>
  </si>
  <si>
    <t xml:space="preserve">BMP-11</t>
  </si>
  <si>
    <t xml:space="preserve">Paper design: answer all 6 AvailabilityApi design questions</t>
  </si>
  <si>
    <t xml:space="preserve">Using BMP-10's real salon data, answer every open question in the AvailabilityApi javadoc before any table/code is written.</t>
  </si>
  <si>
    <t xml:space="preserve">See 'Specs' sheet, row for BMP-11</t>
  </si>
  <si>
    <t xml:space="preserve">BMP-17</t>
  </si>
  <si>
    <t xml:space="preserve">API contract doc: AvailabilityApi</t>
  </si>
  <si>
    <t xml:space="preserve">Document the exact Java interface (already in repo) plus the REST endpoint(s) the customer app will call to reach it.</t>
  </si>
  <si>
    <t xml:space="preserve">See 'Specs' sheet, row for BMP-17</t>
  </si>
  <si>
    <t xml:space="preserve">BMP-12</t>
  </si>
  <si>
    <t xml:space="preserve">Founder sign-off on availability paper design</t>
  </si>
  <si>
    <t xml:space="preserve">Formal gate: no table behind AvailabilityApi may be created until all 3 founders approve BMP-11's answers.</t>
  </si>
  <si>
    <t xml:space="preserve">See 'Specs' sheet, row for BMP-12</t>
  </si>
  <si>
    <t xml:space="preserve">BMP-16</t>
  </si>
  <si>
    <t xml:space="preserve">Write Flyway migration V004 (availability tables)</t>
  </si>
  <si>
    <t xml:space="preserve">The actual schema migration for whatever table structure BMP-11/12 locked in. Explicitly named V004 in the repo README.</t>
  </si>
  <si>
    <t xml:space="preserve">See 'Specs' sheet, row for BMP-16</t>
  </si>
  <si>
    <t xml:space="preserve">BMP-13</t>
  </si>
  <si>
    <t xml:space="preserve">Implement AvailabilityApi.freeSlots()</t>
  </si>
  <si>
    <t xml:space="preserve">THE core algorithm — the calendar-truth problem. Intersects salon hours, stylist availability, existing bookings, and live checkout locks for one specific stylist.</t>
  </si>
  <si>
    <t xml:space="preserve">See 'Specs' sheet, row for BMP-13</t>
  </si>
  <si>
    <t xml:space="preserve">BMP-15</t>
  </si>
  <si>
    <t xml:space="preserve">Implement AvailabilityApi.blockWalkIn()</t>
  </si>
  <si>
    <t xml:space="preserve">The &lt;5-second walk-in quick-block, called from the salon dashboard. Must be fast and race-safe against simultaneous bookings.</t>
  </si>
  <si>
    <t xml:space="preserve">See 'Specs' sheet, row for BMP-15</t>
  </si>
  <si>
    <t xml:space="preserve">BMP-14</t>
  </si>
  <si>
    <t xml:space="preserve">Implement AvailabilityApi.freeSlotsAnyStylist()</t>
  </si>
  <si>
    <t xml:space="preserve">The 'any available stylist' path — union of free slots across every stylist at a salon who can perform the service.</t>
  </si>
  <si>
    <t xml:space="preserve">See 'Specs' sheet, row for BMP-14</t>
  </si>
  <si>
    <t xml:space="preserve">BMP-19</t>
  </si>
  <si>
    <t xml:space="preserve">Confirm Razorpay Route structure directly with Razorpay</t>
  </si>
  <si>
    <t xml:space="preserve">Non-code founder task: get written confirmation from Razorpay on Route split mechanics before payment_schema is built.</t>
  </si>
  <si>
    <t xml:space="preserve">See 'Specs' sheet, row for BMP-19</t>
  </si>
  <si>
    <t xml:space="preserve">BMP-9</t>
  </si>
  <si>
    <t xml:space="preserve">Push notification stub (FCM)</t>
  </si>
  <si>
    <t xml:space="preserve">Fallback push channel via Firebase Cloud Messaging when WhatsApp isn't available/fails.</t>
  </si>
  <si>
    <t xml:space="preserve">See 'Specs' sheet, row for BMP-9</t>
  </si>
  <si>
    <t xml:space="preserve">BMP-31</t>
  </si>
  <si>
    <t xml:space="preserve">OTP authentication flow (bmp-user)</t>
  </si>
  <si>
    <t xml:space="preserve">Real customer login: request OTP, verify OTP, issue refresh token. Uses otp_requests/refresh_tokens tables already migrated in V002 (BMP-22).</t>
  </si>
  <si>
    <t xml:space="preserve">See 'Specs' sheet, row for BMP-31</t>
  </si>
  <si>
    <t xml:space="preserve">BMP-32</t>
  </si>
  <si>
    <t xml:space="preserve">JWT authorization + role-based access control middleware</t>
  </si>
  <si>
    <t xml:space="preserve">Cross-cutting Spring Security filter: validates JWT from BMP-31, enforces per-endpoint role checks across every module's controllers.</t>
  </si>
  <si>
    <t xml:space="preserve">See 'Specs' sheet, row for BMP-32</t>
  </si>
  <si>
    <t xml:space="preserve">BMP-7</t>
  </si>
  <si>
    <t xml:space="preserve">Implement OutboxProcessor for notification module</t>
  </si>
  <si>
    <t xml:space="preserve">Scheduled relay worker: reads bmp_common.outbox, dispatches to WhatsApp/SMS/push senders, marks entries done exactly-once.</t>
  </si>
  <si>
    <t xml:space="preserve">See 'Specs' sheet, row for BMP-7</t>
  </si>
  <si>
    <t xml:space="preserve">BMP-8</t>
  </si>
  <si>
    <t xml:space="preserve">Integrate MSG91 WhatsApp client</t>
  </si>
  <si>
    <t xml:space="preserve">Real MSG91 API integration for OTP delivery and booking notifications — primary channel, push is only fallback.</t>
  </si>
  <si>
    <t xml:space="preserve">See 'Specs' sheet, row for BMP-8</t>
  </si>
  <si>
    <t xml:space="preserve">BMP-20</t>
  </si>
  <si>
    <t xml:space="preserve">Draft Phase 0 kill criteria</t>
  </si>
  <si>
    <t xml:space="preserve">Write the concrete, falsifiable pass/fail criteria for the pilot, before any customer interviews start.</t>
  </si>
  <si>
    <t xml:space="preserve">See 'Specs' sheet, row for BMP-20</t>
  </si>
  <si>
    <t xml:space="preserve">BMP-21</t>
  </si>
  <si>
    <t xml:space="preserve">All-founder sign-off on kill criteria</t>
  </si>
  <si>
    <t xml:space="preserve">Formal 3-way agreement on the Phase 0 kill criteria doc from BMP-20, before any customer interview happens.</t>
  </si>
  <si>
    <t xml:space="preserve">See 'Specs' sheet, row for BMP-21</t>
  </si>
  <si>
    <t xml:space="preserve">Full Specification (service / endpoint / table / JSON / data types / acceptance criteria)</t>
  </si>
  <si>
    <t xml:space="preserve">WHAT: Define the complete column list for the bmp_staff table — the login/identity table for internal BMP employees (support agents, ops, finance, super admin). This is NOT the same as user_schema.users.
WHERE: New table admin_schema.bmp_staff.
File to create: bmp-app/src/main/resources/db/migration/V0XX__admin_schema.sql (SQL DDL)
Entity: bmp-admin/src/main/java/com/bmp/admin/internal/BmpStaff.java
PROPOSED COLUMNS (draft — review and lock with team; nothing here is final):
  id              UUID           PK, generated as UUIDv7, NOT NULL
  name            VARCHAR(120)   NOT NULL
  phone           VARCHAR(20)    UNIQUE, NOT NULL — E.164 format, e.g. +919876543210
  email           VARCHAR(160)   UNIQUE, NULL
  password_hash   VARCHAR(255)   NOT NULL — bcrypt hash, staff log in with password NOT OTP (different channel from customers)
  role            VARCHAR(30)    NOT NULL — ENUM values: 'super_admin' | 'ops_admin' | 'support_agent' | 'finance_admin'
  status          VARCHAR(20)    NOT NULL DEFAULT 'active' — ENUM: 'active' | 'suspended' | 'deactivated'
  last_login_at   TIMESTAMPTZ    NULL
  created_at      TIMESTAMPTZ    NOT NULL DEFAULT now()
  updated_at      TIMESTAMPTZ    NOT NULL DEFAULT now()
CONSTRAINTS / RULES (locked, do not violate):
  - NO foreign key to user_schema.users — zero shared auth infrastructure (Schema Rule #8 in CONTEXT.md).
  - password_hash NEVER stored plain — bcrypt only, same convention as otp_requests.otp_hash and refresh_tokens.token_hash.
  - PK must be UUIDv7 (time-ordered), not a sequential integer — Schema Rule #2.
WHY: bmp_staff is intentionally isolated so a compromise of customer auth (OTP flow) can never touch internal staff accounts, and vice versa. This mirrors how salon_staff is separate from users for salon-side logins.
ACCEPTANCE CRITERIA:
  - Column list above reviewed by all 3 founders and pasted into CONTEXT.md under a new 'Module 7: Admin' section.
  - role and status value sets finalized (add/remove roles as needed for your actual org chart).
  - Confirmed no table anywhere has a live FK from bmp_staff.id to users.id or vice versa.
DEPENDS ON: none — can start immediately.
BLOCKS: BMP-4 (Flyway migration), BMP-5 (ArchUnit isolation test).
MIGRATION NUMBER: This table ships as part of V008__admin_schema.sql (confirmed in V001's trailing migration roadmap comment), together with BMP-2/BMP-3's tables. Written in BMP-4.</t>
  </si>
  <si>
    <t xml:space="preserve">WHAT: Define the complete column list for audit_log — the permanent, tamper-proof record of every sensitive admin/system action (refund approvals, salon suspensions, staff role changes, KYC overrides, etc).
WHERE: New table admin_schema.audit_log.
File: bmp-app/src/main/resources/db/migration/V0XX__admin_schema.sql
Entity: bmp-admin/src/main/java/com/bmp/admin/internal/AuditLog.java
PROPOSED COLUMNS (draft — review and lock with team):
  id             UUID          PK, UUIDv7, NOT NULL
  actor_type     VARCHAR(20)   NOT NULL — ENUM: 'bmp_staff' | 'system' | 'salon_owner' | 'customer'
  actor_id       UUID          NULL — logical reference to bmp_staff.id or users.id depending on actor_type (no DB FK, cross-schema)
  action         VARCHAR(100)  NOT NULL — machine-readable event code, e.g. 'refund.approved', 'salon.suspended', 'staff.role_changed', 'kyc.override'
  entity_type    VARCHAR(60)   NOT NULL — e.g. 'booking', 'salon', 'payment_order', 'bmp_staff'
  entity_id      UUID          NOT NULL — id of the row that was acted on
  metadata       JSONB         NULL — free-form before/after values, e.g. {"before":{"status":"active"},"after":{"status":"suspended"},"reason":"..."}
  ip_address     VARCHAR(45)   NULL — for staff-originated actions, fraud/forensics
  created_at     TIMESTAMPTZ   NOT NULL DEFAULT now()
REQUIRED SQL AFTER TABLE CREATION (put in the same migration file):
  REVOKE DELETE, UPDATE ON admin_schema.audit_log FROM PUBLIC;
  GRANT SELECT, INSERT ON admin_schema.audit_log TO &lt;app_role&gt;;
  (Exact role name = whatever role the Spring datasource connects as — confirm in application.yml.)
WHY: This table is the ground truth for support/legal/dispute investigations (same pattern as booking_events). If a row could be edited or deleted, the audit trail is worthless — hence permissions revoked at the database level, not just application level.
ACCEPTANCE CRITERIA:
  - Table created with the REVOKE statement in the same migration (verify with \dp admin_schema.audit_log in psql — no UPDATE/DELETE privilege listed for the app role).
  - Attempting `UPDATE admin_schema.audit_log SET ...` from the app's DB user throws a permission-denied error (write a quick manual test to prove it).
  - metadata JSONB examples for at least 3 real action types documented in CONTEXT.md.
DEPENDS ON: none — can start immediately.
BLOCKS: BMP-4 (Flyway migration).
MIGRATION NUMBER: Ships in V008__admin_schema.sql, written in BMP-4.</t>
  </si>
  <si>
    <t xml:space="preserve">WHAT: Define two related tables: support_ticket (one row per support case) and support_message (threaded replies within a ticket).
WHERE: admin_schema.support_ticket, admin_schema.support_message.
File: bmp-app/src/main/resources/db/migration/V0XX__admin_schema.sql
PROPOSED COLUMNS — support_ticket (draft):
  id                UUID          PK, UUIDv7, NOT NULL
  ticket_ref        VARCHAR(20)   UNIQUE, NOT NULL — human-readable, e.g. TCK-2026-00042 (same pattern as booking.booking_ref)
  raised_by_type    VARCHAR(20)   NOT NULL — ENUM: 'customer' | 'salon_owner' | 'manager' | 'bmp_staff'
  raised_by_id      UUID          NOT NULL — logical ref to users.id or bmp_staff.id depending on raised_by_type
  booking_id        UUID          NULL — logical ref to booking_schema.booking.id, if ticket relates to a specific booking
  category          VARCHAR(30)   NOT NULL — ENUM: 'booking_issue' | 'payment_issue' | 'refund_dispute' | 'account_issue' | 'stylist_complaint' | 'other'
  subject           VARCHAR(200)  NOT NULL
  status            VARCHAR(20)   NOT NULL DEFAULT 'open' — ENUM: 'open' | 'in_progress' | 'waiting_on_user' | 'resolved' | 'closed'
  priority          VARCHAR(10)   NOT NULL DEFAULT 'medium' — ENUM: 'low' | 'medium' | 'high' | 'urgent'
  assigned_staff_id UUID          NULL — logical ref to admin_schema.bmp_staff.id
  created_at        TIMESTAMPTZ   NOT NULL DEFAULT now()
  updated_at        TIMESTAMPTZ   NOT NULL DEFAULT now()
  resolved_at       TIMESTAMPTZ   NULL
PROPOSED COLUMNS — support_message (draft):
  id             UUID          PK, UUIDv7, NOT NULL
  ticket_id      UUID          NOT NULL, FK -&gt; support_ticket.id (same schema, real FK allowed)
  sender_type    VARCHAR(20)   NOT NULL — ENUM: 'customer' | 'bmp_staff'
  sender_id      UUID          NOT NULL
  message        TEXT          NOT NULL
  attachment_url VARCHAR(500)  NULL — Cloudflare R2 URL, e.g. screenshot of the issue
  created_at     TIMESTAMPTZ   NOT NULL DEFAULT now()
WHY: Separating ticket (the case) from message (each reply) lets a ticket have a full conversation thread, matches how booking has booking_events as a sub-timeline.
ACCEPTANCE CRITERIA:
  - Column lists locked and added to CONTEXT.md under Module 7: Admin.
  - ticket_ref generation strategy decided (sequence vs random — recommend a Postgres sequence formatted as TCK-YYYY-NNNNN).
  - Confirmed support_message.ticket_id is a REAL FK (same schema) but raised_by_id / assigned_staff_id are LOGICAL only (cross-schema, per architecture rule).
DEPENDS ON: none.
BLOCKS: BMP-4 (Flyway migration).
MIGRATION NUMBER: Ships in V008__admin_schema.sql, written in BMP-4.</t>
  </si>
  <si>
    <t xml:space="preserve">WHAT: The notification module is stateless (per CONTEXT.md Module Overview table: '1 log table'). Define notification_log — one row per send attempt across all channels.
WHERE: New schema notification_schema.notification_log.
File: bmp-app/src/main/resources/db/migration/V0XX__notification_schema.sql
Entity: bmp-notification/src/main/java/com/bmp/notification/internal/NotificationLog.java
PROPOSED COLUMNS (draft):
  id                   UUID         PK, UUIDv7, NOT NULL
  recipient_user_id    UUID         NOT NULL — logical ref to user_schema.users.id
  channel              VARCHAR(10)  NOT NULL — ENUM: 'whatsapp' | 'sms' | 'push' | 'email'
  template_code        VARCHAR(60)  NOT NULL — e.g. 'OTP_LOGIN', 'BOOKING_CONFIRMED', 'REVIEW_PROMPT', 'PAYOUT_COMPLETE'
  payload              JSONB        NOT NULL — the rendered variables used to fill the template, e.g. {"salon_name":"Glow Salon","booking_ref":"BMP-2026-00891","time":"5:30 PM"}
  status               VARCHAR(10)  NOT NULL DEFAULT 'queued' — ENUM: 'queued' | 'sent' | 'delivered' | 'failed'
  provider_message_id  VARCHAR(120) NULL — MSG91 or FCM's own message id, for tracing/support
  error_reason         TEXT         NULL — populated only if status = 'failed'
  outbox_entry_id      UUID         NULL — traces back to the bmp_common.outbox row that triggered this send
  created_at           TIMESTAMPTZ  NOT NULL DEFAULT now()
  sent_at              TIMESTAMPTZ  NULL
WHY: "Stateless" means the module holds no business state of its own — it only logs what it sent and to whom, for debugging and resend. All real state (bookings, users) lives in the owning module.
ACCEPTANCE CRITERIA:
  - Column list locked and added to CONTEXT.md under Module 8: Notification.
  - template_code list drafted for at least the 5 known trigger points: OTP, booking confirmed, booking reminder, review prompt, payout complete.
  - Confirmed recipient_user_id has no DB-level FK (cross-schema, logical only).
DEPENDS ON: none.
BLOCKS: BMP-7 (OutboxProcessor), BMP-8 (MSG91 integration), BMP-9 (push stub).
MIGRATION NUMBER: notification_schema is NOT in V001's original roadmap comment (which stops at V008 admin_schema) — proposing V009__notification_schema.sql as the next free number. Confirm with team before merging.</t>
  </si>
  <si>
    <t xml:space="preserve">SERVICE: bmp-notification   SCHEMA: notification_schema   MIGRATION: V009__notification_schema.sql (see note on BMP-6 — this number isn't in V001's original comment, proposed as the next free slot after V008 admin_schema; confirm with team).
FILES: bmp-notification/src/main/java/com/bmp/notification/internal/NotificationLogController.java
This ticket is intentionally minimal — the real value (actually sending WhatsApp/push) is Phase 3 (BMP-7/BMP-8/BMP-9). Phase 1 just needs the log table to exist and be writable/readable so other Phase-1 tickets (e.g. review prompts, booking confirmations) have somewhere to record "a notification should have been sent here" even before the real send integration exists.
ENDPOINTS:
1. POST /api/v1/notifications/log   (called internally by other modules for now, not a real send — just records intent)
   Request: { "recipientUserId":"uuid","channel":"whatsapp","templateCode":"BOOKING_CONFIRMED","payload":{"salonName":"Glow Salon","bookingRef":"BMP-2026-00891","time":"5:30 PM"} }
   Response 201: { "id":"uuid","recipientUserId":"uuid","channel":"whatsapp","templateCode":"BOOKING_CONFIRMED","status":"queued","createdAt":"..." }
   NOTE: status stays 'queued' forever in this ticket's scope — nothing moves it to 'sent'/'delivered'/'failed' until BMP-8/BMP-9 exist in Phase 3. This is expected and fine.
2. GET /api/v1/notifications/log?recipientUserId=uuid&amp;channel=whatsapp
   Response 200: [ { "id":"uuid","channel":"whatsapp","templateCode":"BOOKING_CONFIRMED","status":"queued","payload":{...},"createdAt":"..." }, ... ]
3. GET /api/v1/notifications/log/{id}
   Response 200: single entry, same shape.
DATA TYPES: payload = JSONB (arbitrary object), channel/status/templateCode = string enums per BMP-6's locked columns.
ACCEPTANCE CRITERIA:
  - Table + endpoints exist and round-trip correctly.
  - Explicitly documented (in code comment and in this ticket) that NO actual message is sent yet — status='queued' is the expected terminal state until Phase 3.
DEPENDS ON: BMP-6 (table design).
BLOCKS: nothing functionally in Phase 1 — becomes load-bearing once BMP-7 (OutboxProcessor) exists in Phase 3 to actually drain this queue.</t>
  </si>
  <si>
    <t xml:space="preserve">WHAT: Write the actual runnable SQL migration that creates admin_schema and all 4 tables (bmp_staff, support_ticket, support_message, audit_log) using the column lists locked in BMP-1, BMP-2, BMP-3.
WHERE: bmp-app/src/main/resources/db/migration/V0XX__admin_schema.sql
(Check the existing migration folder for the next free V-number after V001__baseline_schemas_and_outbox.sql — do not reuse or skip numbers.)
FILE MUST CONTAIN, IN ORDER:
  1. CREATE SCHEMA IF NOT EXISTS admin_schema;
  2. CREATE TABLE admin_schema.bmp_staff (... exact columns from BMP-1 ...);
  3. CREATE TABLE admin_schema.support_ticket (... exact columns from BMP-2 ...);
  4. CREATE TABLE admin_schema.support_message (... exact columns from BMP-2, with real FK to support_ticket.id ...);
  5. CREATE TABLE admin_schema.audit_log (... exact columns from BMP-3 ...);
  6. REVOKE DELETE, UPDATE ON admin_schema.audit_log FROM PUBLIC;
  7. Appropriate indexes: bmp_staff(phone), bmp_staff(email), support_ticket(status), support_ticket(assigned_staff_id), support_message(ticket_id), audit_log(entity_type, entity_id), audit_log(created_at).
RETURN VALUE / OUTPUT: This is a migration, not an API — its "output" is the schema existing correctly. Verify by running:
  docker compose up -d
  mvn spring-boot:run -pl bmp-app
  then in psql: \dt admin_schema.* — should list all 4 tables.
  \dp admin_schema.audit_log — should show no UPDATE/DELETE privilege for the app role.
ACCEPTANCE CRITERIA:
  - mvn verify passes (includes architecture tests).
  - All 4 tables exist with exact columns from BMP-1/2/3 (no silent renames or dropped columns).
  - audit_log privilege check passes.
  - Migration checksum committed — never edit this file again after merge (Flyway convention: new changes = new migration file).
DEPENDS ON: BMP-1, BMP-2, BMP-3 (schemas must be locked first).
BLOCKS: BMP-5 (ArchUnit test needs the real table to exist).</t>
  </si>
  <si>
    <t xml:space="preserve">WHAT: Write an ArchUnit rule (alongside the existing ModularityTests.java pattern) that fails the build if any class in bmp-admin ever imports from bmp-user's internal package, and that no JPA entity maps bmp_staff with any relationship to the users table.
WHERE: bmp-app/src/test/java/com/bmp/AdminIsolationTests.java (new file, sibling to the existing bmp-app/src/test/java/com/bmp/ModularityTests.java)
WHAT THE TEST MUST CHECK (write as 2-3 separate @ArchTest methods):
  1. No class in package `com.bmp.admin..` depends on `com.bmp.user.internal..` (mirrors the existing module-boundary rule, just scoped to admin+user specifically).
  2. No class in package `com.bmp.user..` depends on `com.bmp.admin..` (isolation must hold both directions).
  3. (Optional but recommended) A JPA/entity-level check: scan for any `@JoinColumn` or `@ManyToOne` on BmpStaff.java pointing at a `User` entity — should find none.
EXPECTED OUTPUT: `mvn verify` — this test runs as part of the existing architecture test suite. Pass = no violating dependency found. Fail = prints the exact class and import line that broke isolation.
WHY: This is the automated enforcement of the Schema Rule "bmp_staff is COMPLETELY SEPARATE from users. Zero shared auth infrastructure." Without a test, this rule could be silently violated later by someone taking a shortcut (e.g. reusing users.password_hash for a staff login).
ACCEPTANCE CRITERIA:
  - Test file added, included automatically in `mvn verify` (same Surefire/ArchUnit config as ModularityTests.java).
  - Test passes on current code.
  - Test is proven to actually catch a violation: temporarily add a fake import from admin to user internal, confirm the build fails, then revert.
DEPENDS ON: BMP-4 (bmp_staff table/entity must exist first).
BLOCKS: none — safety net, can run any time after BMP-4.</t>
  </si>
  <si>
    <t xml:space="preserve">SERVICE: bmp-admin   SCHEMA: admin_schema   MIGRATION: uses V008__admin_schema.sql already written in BMP-4 — this ticket is the REST layer on top, no new migration.
FILES: bmp-admin/src/main/java/com/bmp/admin/internal/BmpStaffController.java, SupportTicketController.java, AuditLogController.java
ENDPOINTS:
1. POST /api/v1/staff
   Request: { "name":"Ops Person","phone":"+919876500000","email":"ops@bmp.app","passwordHash":"&lt;bcrypt-hash-computed-server-side-from-a-plaintext-password-field-do-not-accept-hash-from-client&gt;","role":"ops_admin" }
   CORRECTION: client sends plaintext "password" field, server bcrypt-hashes it before storing — never accept a pre-hashed password from a client. Response 201: { "id":"uuid","name":"Ops Person","phone":"...","role":"ops_admin","status":"active","createdAt":"..." } (never return password_hash in any response).
2. GET /api/v1/staff/{staffId}   and   GET /api/v1/staff?role=support_agent
   Response 200: staff object(s), password_hash always excluded from the JSON.
3. PUT /api/v1/staff/{staffId}/status
   Request: { "status":"suspended" }
   Response 200: updated object. This action MUST also write an admin_schema.audit_log row (action='staff.status_changed', entity_type='bmp_staff', metadata={"before":"active","after":"suspended"}) — this is the first real caller of the audit_log table, wire it here.
4. POST /api/v1/support-tickets
   Request: { "raisedByType":"customer","raisedById":"uuid","bookingId":"uuid-or-null","category":"booking_issue","subject":"Stylist didn't show up" }
   Response 201: { "id":"uuid","ticketRef":"TCK-2026-00001","status":"open","priority":"medium","createdAt":"..." }
   ticketRef generation: use a Postgres sequence formatted as TCK-YYYY-NNNNN (per BMP-2's design note).
5. GET /api/v1/support-tickets/{ticketId}   and   GET /api/v1/support-tickets?status=open&amp;assignedStaffId=uuid
   Response 200: ticket object(s) with nested recent messages optionally via ?includeMessages=true.
6. PUT /api/v1/support-tickets/{ticketId}
   Request: subset of { status, priority, assignedStaffId }
   Response 200: updated object. Status change to 'resolved' should set resolved_at.
7. POST /api/v1/support-tickets/{ticketId}/messages
   Request: { "senderType":"bmp_staff","senderId":"uuid","message":"We've refunded your booking.","attachmentUrl":null }
   Response 201: { "id":"uuid","ticketId":"uuid","senderType":"bmp_staff","message":"...","createdAt":"..." }
8. GET /api/v1/audit-log?entityType=bmp_staff&amp;entityId=uuid   (READ-ONLY — no POST/PUT/DELETE exposed publicly; rows are only ever inserted as a side-effect of other actions like #3 above)
   Response 200: [ { "action":"staff.status_changed","actorType":"bmp_staff","actorId":"uuid","metadata":{...},"createdAt":"..." }, ... ]
DATA TYPES: all ids = UUID. status/role/category/priority = string enums exactly per BMP-1/BMP-2's locked column definitions.
ACCEPTANCE CRITERIA:
  - password_hash NEVER appears in any JSON response (grep the response DTOs to confirm the field is excluded, not just "usually" omitted).
  - Staff status change produces exactly one audit_log row with correct before/after metadata.
  - No DELETE endpoint exists on staff or audit_log.
  - ticketRef is unique and correctly sequential per year.
DEPENDS ON: BMP-4 (V008 migration must exist).
BLOCKS: none in Phase 1 — this is the last piece admin-side before Phase 3 auth work can layer staff login on top of bmp_staff.</t>
  </si>
  <si>
    <t xml:space="preserve">SERVICE: bmp-user   SCHEMA: user_schema   MIGRATION: V002__user_schema.sql (not yet written — confirmed empty in repo; write it as part of this ticket)
FILES: bmp-user/src/main/java/com/bmp/user/internal/User.java (entity), UserRole.java (entity), UserController.java (REST layer), UserRepository.java
STEP 0 — MIGRATION (V002__user_schema.sql): create user_schema.users, user_schema.user_roles, user_schema.otp_requests, user_schema.refresh_tokens, user_schema.onboarding_state per the exact columns already locked in CONTEXT.md Module 1: User. This ticket only builds CRUD on top of users + user_roles; otp_requests/refresh_tokens/onboarding_state tables should still be created now (so V002 is complete in one migration) but their CRUD/logic is Phase 3 (BMP-31).
users columns (from CONTEXT.md, locked): id UUID PK UUIDv7, phone VARCHAR UNIQUE NOT NULL (E.164), name, gender, age, email, profile_photo_url, hair_type, hair_length, default_role, is_verified BOOLEAN, created_at, updated_at.
user_roles columns: id UUID PK, user_id UUID FK-&gt;users.id, role ENUM('customer','stylist','salon_owner','manager'), salon_id UUID NULL (logical ref to salon_schema.salon.id, NULL for customer role).
ENDPOINTS (this ticket — plain CRUD, no OTP/auth middleware yet, so treat as an open internal API for now; auth is bolted on in Phase 3 BMP-32):
1. POST /api/v1/users
   Request: { "phone":"+919876543210", "name":"Ravi Kumar", "gender":"male", "age":29, "email":"ravi@example.com", "defaultRole":"customer" }
   Response 201: { "id":"uuid", "phone":"+919876543210", "name":"Ravi Kumar", "isVerified":false, "createdAt":"2026-07-19T10:00:00Z" }
   Response 409 if phone already exists: { "error":"PHONE_ALREADY_EXISTS" }
2. GET /api/v1/users/{userId}
   Response 200: { "id":"uuid","phone":"...","name":"...","gender":"male","age":29,"email":"...","profilePhotoUrl":null,"hairType":null,"hairLength":null,"defaultRole":"customer","isVerified":false,"createdAt":"...","updatedAt":"..." }
   Response 404: { "error":"USER_NOT_FOUND" }
3. GET /api/v1/users?phone=%2B919876543210   (lookup by phone, URL-encoded)
   Same response shape as #2, or 404.
4. PUT /api/v1/users/{userId}
   Request: any subset of { name, gender, age, email, profilePhotoUrl, hairType, hairLength } — phone is IMMUTABLE via this endpoint (it's the identity key).
   Response 200: full updated object (same shape as GET).
5. POST /api/v1/users/{userId}/roles
   Request: { "role":"stylist", "salonId":"uuid-or-null" }
   Response 201: { "id":"uuid","userId":"uuid","role":"stylist","salonId":"uuid" }
6. GET /api/v1/users/{userId}/roles
   Response 200: [ { "id":"uuid","role":"customer","salonId":null }, { "id":"uuid","role":"stylist","salonId":"uuid-x"} ]
   (Proves the documented case: "A stylist who also books as a customer has ONE users row and TWO user_roles rows.")
DATA TYPES: all ids = UUID string (UUIDv7). age = integer. isVerified = boolean. gender/role/defaultRole = string enums exactly as listed above. Timestamps = ISO-8601 with Z.
VALIDATION: phone must match E.164 regex (^\+[1-9]\d{7,14}$); unique constraint enforced at DB AND checked in service layer for a clean 409 instead of a raw DB error.
ACCEPTANCE CRITERIA:
  - V002 migration creates all 5 user_schema tables with exact CONTEXT.md columns.
  - All 6 endpoints above pass manual Postman/curl testing.
  - Duplicate phone returns 409, not a 500.
  - A user with 2 roles round-trips correctly through GET .../roles.
DEPENDS ON: none (schema already locked in CONTEXT.md, just needs to be migrated).
BLOCKS: BMP-31 (OTP auth, Phase 3) reuses this table; BMP-25 (Booking CRUD) needs a real user_id to attach bookings to.</t>
  </si>
  <si>
    <t xml:space="preserve">SERVICE: bmp-review   SCHEMA: review_schema   MIGRATION: V007__review_and_rewards_schema.sql (shared file per V001's comment grouping — coordinate with BMP-28 so both land in one migration, or split into V007a/V007b if the team prefers two files; either way use the SAME next free number space, don't collide with V006/V008)
FILES: bmp-review/src/main/java/com/bmp/review/internal/Review.java, SalonResponse.java, ReviewController.java
COLUMNS (from CONTEXT.md Module 5, core Postgres tables — MongoDB community_posts bridge is OUT of scope for this ticket, that's a Phase 2/3 addition once the community feed is being built):
  review: id UUID PK, booking_id UUID UNIQUE NOT NULL (logical FK to booking_schema.booking — "no booking, no review"), salon_id, stylist_id NULL, salon_rating SMALLINT (1-5, mandatory), stylist_rating SMALLINT NULL (1-5, mandatory only if a stylist was assigned), text TEXT NULL, edit_locked_at TIMESTAMPTZ (= created_at + 7 days), needs_remoderation BOOLEAN DEFAULT false, community_post_id VARCHAR(36) NULL (Mongo bridge, leave null for now), created_at, updated_at.
  salon_response: id UUID PK, review_id FK, salon_id, text TEXT, created_at, updated_at (editable within 24h per locked rule — enforce in service layer for this ticket, don't need a full moderation queue yet).
ENDPOINTS:
1. POST /api/v1/bookings/{bookingId}/review
   Request: { "salonRating":5, "stylistRating":5, "text":"Great haircut, on time!" }
   Response 201: { "id":"uuid","bookingId":"uuid","salonRating":5,"stylistRating":5,"text":"...","editLockedAt":"2026-07-26T10:00:00Z","createdAt":"..." }
   Validation: 400 if booking status is not COMPLETED (a review requires a completed, paid booking — enforce even though full booking completion logic isn't wired until later, just check booking.status='COMPLETED' if present). 409 if a review already exists for this booking_id (UNIQUE constraint).
2. GET /api/v1/reviews/{reviewId}
   Response 200: same shape as above.
3. GET /api/v1/salons/{salonId}/reviews?page=0&amp;size=20
   Response 200: paginated list of reviews for a salon.
4. PUT /api/v1/reviews/{reviewId}   (edit — only within the 7-day window)
   Request: { "salonRating":4, "text":"Updating my review, one issue on revisit" }
   Response 200: updated object.
   Response 403 if now() &gt; edit_locked_at: { "error":"REVIEW_EDIT_WINDOW_CLOSED" }
   Sets needs_remoderation=true if text changed (per locked rule) — this ticket just needs to set the flag; an actual moderation queue/workflow is a later ticket.
5. POST /api/v1/reviews/{reviewId}/response   and   PUT /api/v1/reviews/{reviewId}/response
   Request: { "text":"Thanks for the 5 stars!" }
   Response 201/200: { "id":"uuid","reviewId":"uuid","text":"...","createdAt":"...","updatedAt":"..." }
   PUT should 403 if now() &gt; response.created_at + 24h.
DATA TYPES: salonRating/stylistRating = integer 1-5 (validate range, 400 outside it). editLockedAt = ISO-8601 timestamp.
ACCEPTANCE CRITERIA:
  - Attempting a second review on the same booking_id returns 409, not a duplicate row.
  - Editing a review after edit_locked_at returns 403, verified with a test that manually backdates created_at.
  - Editing review text (not just rating) sets needs_remoderation=true; editing ONLY the rating does not (matches the locked distinction in CONTEXT.md).
DEPENDS ON: BMP-25 (needs a real booking_id, ideally one that can be marked COMPLETED for testing).
BLOCKS: salon_rating_snapshot/stylist_rating_snapshot computation (a follow-up ticket — these are pre-computed aggregates updated after each approved review, not built in this CRUD pass).</t>
  </si>
  <si>
    <t xml:space="preserve">SERVICE: bmp-salon   SCHEMA: salon_schema   MIGRATION: V003__salon_schema.sql (not yet written; this ticket covers salon/salon_policy/salon_hours/salon_service — BMP-24 adds stylist/stylist_salon/stylist_service/salon_staff/staff_invites to the SAME V003 file, coordinate so it's one migration not two)
FILES: bmp-salon/src/main/java/com/bmp/salon/internal/Salon.java, SalonPolicy.java, SalonHours.java, SalonService.java, SalonController.java
COLUMNS (from CONTEXT.md, locked):
  salon: id UUID PK, name, location GEOGRAPHY(POINT) [PostGIS — NOT lat/lon columns], status ENUM('pending','approved','rejected','suspended','closed'), stylist_assignment_strategy ENUM('random','highest_rated','least_loaded'), created_at, updated_at. Salons are NEVER hard-deleted.
  salon_policy: id UUID PK, salon_id FK, template ENUM('strict','standard','flexible'), free_cancel_hours, late_grace_minutes, require_prepayment BOOLEAN (always true in Phase 1).
  salon_hours: id UUID PK, salon_id FK, day_of_week SMALLINT (0-6), open_time TIME, close_time TIME (7 rows per salon — one per day; close_time means slots must END by this time).
  salon_service: id UUID PK, salon_id FK, name, price_paise BIGINT, duration_minutes INT, requires_stylist_assignment BOOLEAN (false = walk-in pool).
ENDPOINTS:
1. POST /api/v1/salons
   Request: { "name":"Glow Salon", "location":{"lat":12.9352,"lng":77.6146}, "stylistAssignmentStrategy":"least_loaded" }
   (Server converts lat/lng into PostGIS GEOGRAPHY(POINT) via ST_MakePoint(lng,lat)::geography — note lng THEN lat, standard PostGIS order.)
   Response 201: { "id":"uuid","name":"Glow Salon","status":"pending","stylistAssignmentStrategy":"least_loaded","createdAt":"..." }
2. GET /api/v1/salons/{salonId}
   Response 200: { "id":"uuid","name":"Glow Salon","location":{"lat":12.9352,"lng":77.6146},"status":"pending","stylistAssignmentStrategy":"least_loaded","createdAt":"...","updatedAt":"..." }
   404 if not found (never hard-deleted, so 404 truly means invalid id, not "was deleted").
3. PUT /api/v1/salons/{salonId}
   Request: subset of { name, location, status, stylistAssignmentStrategy }
   Response 200: updated object. NOTE: status transitions (pending-&gt;approved etc) should eventually go through an admin-only endpoint with audit_log entries (BMP-29/BMP-3) — for this ticket plain PUT is fine, tighten in Phase 3.
4. GET /api/v1/salons?near=12.9352,77.6146&amp;radiusKm=4
   Response 200: [ { "id":"uuid","name":"Glow Salon","distanceKm":1.2 }, ... ]
   Uses PostGIS ST_DWithin on the GEOGRAPHY column — proximity search per the locked design (spherical, accurate, not flat GEOMETRY).
5. POST /api/v1/salons/{salonId}/policy   and   GET /api/v1/salons/{salonId}/policy
   Request: { "template":"standard", "freeCancelHours":24, "lateGraceMinutes":15, "requirePrepayment":true }
   Response 201/200: same shape with "id" and "salonId" added.
6. PUT /api/v1/salons/{salonId}/hours   (bulk upsert all 7 days at once)
   Request: { "hours":[ {"dayOfWeek":0,"openTime":"10:00","closeTime":"21:00"}, ... 7 entries ... ] }
   Response 200: { "salonId":"uuid","hours":[ ...same shape echoed back... ] }
   Validation: exactly 0-7 entries, dayOfWeek 0-6 unique, closeTime &gt; openTime.
7. POST /api/v1/salons/{salonId}/services   and   GET /api/v1/salons/{salonId}/services
   Request: { "name":"Haircut","pricePaise":80000,"durationMinutes":45,"requiresStylistAssignment":true }
   Response 201: { "id":"uuid","salonId":"uuid","name":"Haircut","pricePaise":80000,"durationMinutes":45,"requiresStylistAssignment":true }
   NOTE pricePaise is INTEGER paise (₹800 = 80000), never a float — Schema Rule #1.
DATA TYPES: pricePaise = BIGINT/integer (paise). durationMinutes/freeCancelHours/lateGraceMinutes = integer. location = {lat: number, lng: number} in JSON, GEOGRAPHY(POINT) in DB. dayOfWeek = integer 0-6. openTime/closeTime = "HH:mm" string.
ACCEPTANCE CRITERIA:
  - PostGIS extension confirmed enabled (already done in V001 — CREATE EXTENSION IF NOT EXISTS postgis).
  - Proximity search (#4) returns correct distance-sorted results against 3+ seeded salons at known coordinates.
  - salon.status enum rejects invalid values with 400, not a raw DB constraint error.
  - salon_hours upsert is idempotent (calling twice with the same body doesn't create duplicate day rows).
DEPENDS ON: none.
BLOCKS: BMP-24 (stylist tables reference salon_id), BMP-25 (booking references salon_service), BMP-13/14/15 (availability reads salon_hours).</t>
  </si>
  <si>
    <t xml:space="preserve">SERVICE: bmp-rewards   SCHEMA: rewards_schema   MIGRATION: same V007 migration file as BMP-27 (or its own file in the same numeric slot — coordinate with whoever does BMP-27 first)
FILES: bmp-rewards/src/main/java/com/bmp/rewards/internal/Coupon.java, Wallet.java, WalletTransaction.java, ReferralCode.java, RewardsController.java
COLUMNS (from CONTEXT.md Module 6, core fields):
  coupon: id UUID PK, code VARCHAR UNIQUE, type ENUM('welcome','referral','loyalty','off_peak','festival','birthday','win_back','salon_specific'), salon_id NULL (null = platform-wide), commission_base ENUM('pre_discount','post_discount') — salon_specific coupons ALWAYS pre_discount (locked rule), discount_type/value, min_spend_paise, per_user_limit, total_usage_cap, active_from, active_to, allows_wallet_stacking BOOLEAN.
  wallet: id UUID PK, user_id UNIQUE, balance_paise BIGINT NOT NULL DEFAULT 0 (never negative — enforce with a CHECK constraint), is_frozen BOOLEAN DEFAULT false.
  wallet_transaction: id UUID PK, wallet_id FK, type (one of 9 transaction types per CONTEXT.md), amount_paise BIGINT (signed), balance_after_paise BIGINT (snapshot), created_at. APPEND-ONLY — REVOKE UPDATE, DELETE, same pattern as audit_log/booking_events.
  referral_code: id UUID PK, user_id UNIQUE, code VARCHAR UNIQUE (format e.g. DARSHAN-X7K), created_at.
ENDPOINTS:
1. POST /api/v1/coupons   (admin creates a coupon)
   Request: { "code":"WELCOME100","type":"welcome","salonId":null,"commissionBase":"post_discount","discountType":"flat","value":10000,"minSpendPaise":50000,"perUserLimit":1,"totalUsageCap":1000,"activeFrom":"2026-07-01","activeTo":"2026-12-31","allowsWalletStacking":true }
   Response 201: full object with generated id.
   NOTE value/minSpendPaise in paise (integer), never float.
2. POST /api/v1/coupons/validate   (the 6-rule check, per CONTEXT.md — implement all 6 even in this basic CRUD pass, they're pure logic not integration)
   Request: { "code":"WELCOME100","userId":"uuid","salonId":"uuid","subtotalPaise":80000 }
   Response 200 valid: { "valid":true,"couponId":"uuid","discountPaise":10000,"commissionBase":"post_discount" }
   Response 200 invalid: { "valid":false,"reason":"MIN_SPEND_NOT_MET" }  (reason = one of: INACTIVE_OR_EXPIRED, SALON_MISMATCH, PER_USER_LIMIT_EXCEEDED, MIN_SPEND_NOT_MET, TOTAL_CAP_EXCEEDED, NOT_FIRST_BOOKING)
   Run the 6 checks IN THE DOCUMENTED ORDER from CONTEXT.md, return the FIRST failing reason (not all failures at once, matches "specific error per failure" locked decision).
3. GET /api/v1/users/{userId}/wallet
   Response 200: { "userId":"uuid","balancePaise":15000,"isFrozen":false }
4. GET /api/v1/users/{userId}/wallet/transactions?page=0&amp;size=20
   Response 200: paginated, read-only: [ {"id":"uuid","type":"referral_credit","amountPaise":15000,"balanceAfterPaise":15000,"createdAt":"..."} ]
   NO PUT/DELETE on wallet_transaction anywhere — it's append-only, same DB-level REVOKE as audit_log. New transactions are only ever created as a side-effect of other flows (referral, booking completion, refund) — not directly POSTed by a client in this ticket. If you need a manual test credit, add a clearly-marked ADMIN-ONLY /api/v1/admin/wallet/credit endpoint instead of exposing a generic POST.
5. POST /api/v1/users/{userId}/referral-code   (idempotent — generate once)
   Response 201 or 200 if already exists: { "userId":"uuid","code":"DARSHAN-X7K","createdAt":"..." }
DATA TYPES: all *Paise fields = integer, never float. balancePaise must be enforced &gt;= 0 at the DB level (CHECK constraint), not just app-level.
ACCEPTANCE CRITERIA:
  - coupon/validate runs all 6 rules in the documented order and returns the correct FIRST failure reason for a coupon deliberately violating rule 3 and rule 5 simultaneously (should report rule 3's reason, since it's checked first).
  - wallet.balance_paise CHECK constraint proven: attempt a manual negative-balance UPDATE at the DB level, confirm it's rejected.
  - wallet_transaction table proven append-only (same REVOKE-privilege manual test as BMP-3/BMP-25).
  - salon_specific coupon always resolves commission_base='pre_discount' regardless of what's requested in the create payload (server-side enforced, not client-trusted).
DEPENDS ON: BMP-22 (needs real user_id for wallet).
BLOCKS: none in Phase 1 — coupon consumption during actual checkout and referral-triggered wallet credit are booking-flow integrations, later tickets.</t>
  </si>
  <si>
    <t xml:space="preserve">SERVICE: bmp-salon   SCHEMA: salon_schema   MIGRATION: same V003__salon_schema.sql as BMP-23 — coordinate so stylist/stylist_salon/stylist_service/salon_staff/staff_invites land in the same file, not a separate one.
FILES: bmp-salon/src/main/java/com/bmp/salon/internal/Stylist.java, StylistSalon.java, StylistService.java, StylistController.java
COLUMNS (from CONTEXT.md, locked):
  stylist: id UUID PK, user_id UUID NULL (nullable — salon can quick-add a stylist before they claim their profile), name, overall_rating NUMERIC (cross-salon lifetime), total_reviews INT, is_top_stylist BOOLEAN (computed: total_reviews&gt;=50 AND overall_rating&gt;=4.7), created_at. Rows are NEVER deleted, only marked alumni via stylist_salon.
  stylist_salon: id UUID PK, stylist_id FK, salon_id FK, status ENUM('active','alumni'), salon_rating NUMERIC (frozen when alumni), salon_review_count INT (frozen when alumni), is_available_today BOOLEAN (the fast kill-switch, flipped in one tap), joined_at, left_at NULL.
  stylist_service: id UUID PK, stylist_id FK, salon_id FK, service_id FK-&gt;salon_service.id, actual_duration_minutes INT (real speed, NEVER shown to customer — only salon_service.duration_minutes is shown), override_price_paise BIGINT NULL (per-stylist pricing override).
ENDPOINTS:
1. POST /api/v1/stylists
   Request: { "name":"Priya Sharma", "userId":"uuid-or-null" }
   Response 201: { "id":"uuid","name":"Priya Sharma","userId":null,"overallRating":0,"totalReviews":0,"isTopStylist":false,"createdAt":"..." }
2. GET /api/v1/stylists/{stylistId}
   Response 200: full stylist object (same shape as above).
   404 if not found — note stylist rows are never hard-deleted, so a "not found" is genuinely invalid, never "removed".
3. POST /api/v1/salons/{salonId}/stylists   (link a stylist to a salon — creates stylist_salon)
   Request: { "stylistId":"uuid" }
   Response 201: { "id":"uuid","stylistId":"uuid","salonId":"uuid","status":"active","isAvailableToday":true,"joinedAt":"..." }
4. GET /api/v1/salons/{salonId}/stylists?status=active
   Response 200: [ { "stylistSalonId":"uuid","stylistId":"uuid","name":"Priya Sharma","status":"active","isAvailableToday":true,"salonRating":4.8 }, ... ]
5. PUT /api/v1/salons/{salonId}/stylists/{stylistId}/available-today   (the quick kill-switch toggle)
   Request: { "isAvailableToday": false }
   Response 200: { "stylistId":"uuid","salonId":"uuid","isAvailableToday":false }
   NOTE: this single boolean is checked FIRST (cheapest check) before any slot computation in the availability algorithm (BMP-13/14) — get this endpoint fast and correct, it matters more than it looks.
6. POST /api/v1/salons/{salonId}/stylists/{stylistId}/alumni   (mark alumni — NEVER a DELETE)
   Response 200: { "stylistId":"uuid","salonId":"uuid","status":"alumni","leftAt":"2026-07-21T00:00:00Z","salonRating":4.8,"salonReviewCount":112 }
   IMPORTANT: There is deliberately NO DELETE endpoint for stylist_salon — status moves to 'alumni' and salon_rating/salon_review_count get frozen at that moment (locked decision).
7. POST /api/v1/salons/{salonId}/stylists/{stylistId}/services   and   GET .../services
   Request: { "serviceId":"uuid","actualDurationMinutes":40,"overridePricePaise":75000 }
   Response 201: { "id":"uuid","stylistId":"uuid","serviceId":"uuid","actualDurationMinutes":40,"overridePricePaise":75000 }
   This is also what BMP-14 (freeSlotsAnyStylist) filters on: "shows only stylists with active stylist_service row for that service."
DATA TYPES: overallRating/salonRating = numeric (e.g. 4.8, 1 decimal typical but store as NUMERIC not float in Postgres). actualDurationMinutes = integer. overridePricePaise = integer paise, nullable.
ACCEPTANCE CRITERIA:
  - Alumni transition correctly freezes salon_rating/salon_review_count (verify by changing the live rating after alumni transition and confirming the frozen snapshot doesn't move).
  - No DELETE endpoint exists anywhere on stylist or stylist_salon — confirm by checking the controller has no @DeleteMapping for these resources.
  - is_available_today toggle round-trips in under typical single-digit-ms DB update time (this feeds directly into BMP-15's &lt;5s walk-in requirement later).
DEPENDS ON: BMP-23 (same migration file, salon must exist first).
BLOCKS: BMP-25 (booking_service_item.assigned_stylist_id references this), BMP-13/14/15 (availability algorithm reads stylist_salon + stylist_service directly).</t>
  </si>
  <si>
    <t xml:space="preserve">SERVICE: bmp-payment   SCHEMA: payment_schema   MIGRATION: V006__payment_schema.sql
IMPORTANT DISCREPANCY FOUND: V001's trailing comment names this migration's tables as "payment, payout_record, payout_queue, bank_account" — but CONTEXT.md's Session-3 locked design (more recent, explicitly "the single source of truth") specifies 9 tables with different names: payment_order, webhook_event, razorpay_linked_account, payout_queue_item, payout_batch, commission_ledger, refund_execution, bmp_account, saas_subscription, saas_invoice. Flag this to the team — recommend following CONTEXT.md's fuller schema since it's the newer, detailed, explicitly-locked version. This ticket only builds the ONE core table needed for basic CRUD (payment_order); the other 8 tables are follow-up tickets once Razorpay integration (Phase 3, BMP-19) is actually being wired.
FILES: bmp-payment/src/main/java/com/bmp/payment/internal/PaymentOrder.java, PaymentOrderController.java
COLUMNS (payment_order, from CONTEXT.md Module 4, core fields):
  id UUID PK, booking_id FK-&gt;booking_schema.booking.id (real FK), razorpay_order_id VARCHAR UNIQUE NULL (stub/null in this ticket — real value only comes from the actual Razorpay call in Phase 3), idempotency_key VARCHAR (booking_id + attempt_number), commission_paise BIGINT (frozen at creation), salon_share_paise BIGINT (frozen at creation), amount_paise BIGINT, status ENUM('created','captured','failed') — simplified 3-state for Phase 1, full webhook-driven states added in Phase 3, payment_captured_at TIMESTAMPTZ NULL (webhook-only, stays NULL in this ticket), created_at.
ENDPOINTS (Phase 1 — data model only, NO real Razorpay API call):
1. POST /api/v1/bookings/{bookingId}/payment-order
   Request: {} (no body needed — amount is derived from the booking)
   Response 201: { "id":"uuid","bookingId":"uuid","amountPaise":80000,"commissionPaise":9600,"salonSharePaise":70400,"razorpayOrderId":null,"status":"created","createdAt":"..." }
   Server logic: fetch booking.final_amount_paise, compute commission_paise = 12% of amount (per locked 88/12 split), salon_share_paise = amount - commission. razorpay_order_id stays NULL — a TODO comment should mark exactly where the real Razorpay create-order call goes in Phase 3 (BMP-19/payment integration ticket).
2. GET /api/v1/payment-orders/{paymentOrderId}
   Response 200: same shape as above.
3. GET /api/v1/bookings/{bookingId}/payment-order
   Response 200: same shape, or 404 if none created yet.
4. PUT /api/v1/payment-orders/{paymentOrderId}/status   (MANUAL, DEV-ONLY endpoint — clearly mark as temporary)
   Request: { "status":"captured" }
   Response 200: updated object.
   EXPLICIT WARNING to put in the code as a comment: this manual status-set endpoint EXISTS ONLY so booking flows can be tested locally without a live Razorpay webhook. It directly violates the locked rule "Razorpay webhook = ONLY source of payment truth" if left reachable in production — either feature-flag it off outside local/dev profiles, or delete it the moment BMP-19/Phase 3 wires the real webhook.
DATA TYPES: all *_paise fields = integer (BIGINT), never float. status = string enum, simplified set for this ticket only.
ACCEPTANCE CRITERIA:
  - commission_paise + salon_share_paise always exactly equals amount_paise (no rounding leak) — write a test with an odd amount (e.g. 80001 paise) and confirm the split still sums correctly.
  - The dev-only manual status endpoint is clearly flagged/guarded, not indistinguishable from a real endpoint.
  - idempotency_key prevents creating two payment_order rows for the same booking_id + attempt (unique constraint or explicit check returning 409).
DEPENDS ON: BMP-25 (needs a real booking_id).
BLOCKS: none in Phase 1; Phase 3's Razorpay integration (BMP-19) replaces the stub order-creation logic and wires the real webhook to flip status.</t>
  </si>
  <si>
    <t xml:space="preserve">SERVICE: bmp-booking   SCHEMA: booking_schema   MIGRATION: V005__booking_schema.sql (not yet written; V001's comment scopes it to booking, booking_service_item, booking_events, slot_lock — the other 4 booking tables from CONTEXT.md — booking_disruption, booking_modification, refund_ticket, refund_guard — are NOT in this ticket, flag as a follow-up ticket once refund/disruption flows are being built)
FILES: bmp-booking/src/main/java/com/bmp/booking/internal/Booking.java, BookingServiceItem.java, BookingController.java. The state machine class BookingStatus.java already exists per the Maven skeleton (bmp-booking/src/main/java/com/bmp/booking/api/BookingStatus.java) — REUSE it, do not rewrite the transition rules.
COLUMNS (from CONTEXT.md, locked, core fields only):
  booking: id UUID PK, booking_ref VARCHAR UNIQUE (human-readable, e.g. BMP-2026-08291), salon_id FK (real FK, per pivot decision T3), customer_id FK-&gt;users.id, status ENUM (PENDING/CONFIRMED/ARRIVED/IN_SERVICE/COMPLETED/CANCELLED/NO_SHOW), final_amount_paise BIGINT, total_refunded_paise BIGINT DEFAULT 0, commission_paise BIGINT, policy_snapshot JSONB, refund_window_open BOOLEAN DEFAULT true, confirmed_at TIMESTAMPTZ NULL, created_at, updated_at.
  booking_service_item: id UUID PK, booking_id FK, service_id (logical ref to salon_schema.salon_service.id), assigned_stylist_id UUID NULL, selection_type ENUM('specific_stylist','any_available','walk_in_pool'), service_start, service_end, name_snapshot, price_paise_snapshot, duration_shown_minutes, actual_duration_minutes, item_status ENUM('active','removed','completed').
  booking_events: id UUID PK, booking_id FK, event_type VARCHAR, actor_type, actor_id, metadata JSONB, created_at. APPEND-ONLY — REVOKE UPDATE, DELETE in this same migration, same pattern as audit_log.
  slot_lock: id UUID PK, stylist_id, booking_id NULL, date, start_time, end_time, expires_at, release_reason ENUM. (Redis is the live lock at runtime — this table is for analytics/tracing per CONTEXT.md; full Redis wiring is more natural in Phase 2 alongside BMP-13, but the TABLE ships now.)
ENDPOINTS (Phase 1 scope — no payment webhook integration yet):
1. POST /api/v1/bookings
   Request: { "salonId":"uuid","customerId":"uuid","items":[ {"serviceId":"uuid","stylistId":"uuid-or-null","selectionType":"specific_stylist","start":"2026-07-25T10:00:00Z"} ] }
   Response 201: { "id":"uuid","bookingRef":"BMP-2026-00001","status":"PENDING","finalAmountPaise":80000,"items":[ {"id":"uuid","serviceId":"uuid","assignedStylistId":"uuid","status":"active"} ] }
   Server computes final_amount_paise by summing salon_service.price_paise (or stylist_service.override_price_paise if set) for each item, snapshots name/price/duration into booking_service_item per the FROZEN-at-creation rule.
   NOTE: booking is created as PENDING and STAYS PENDING in this ticket's scope — the PENDING-&gt;CONFIRMED transition is documented as "SYSTEM only — Razorpay webhook. NO other actor," so this ticket must NOT expose a generic PUT that lets anyone set status=CONFIRMED. It's fine to leave bookings sitting in PENDING for now; the transition gets wired in Phase 3.
2. GET /api/v1/bookings/{bookingId}
   Response 200: { "id":"uuid","bookingRef":"...","salonId":"uuid","customerId":"uuid","status":"PENDING","finalAmountPaise":80000,"totalRefundedPaise":0,"items":[...],"createdAt":"..." }
3. GET /api/v1/bookings?customerId=uuid&amp;status=PENDING
   Response 200: paginated list, same item shape as GET by id (summarized).
4. POST /api/v1/bookings/{bookingId}/cancel
   Request: { "reason":"customer requested" }
   Response 200: { "id":"uuid","status":"CANCELLED" }
   Implementation: call BookingStatus's existing transition-check method (CONFIRMED-&gt;CANCELLED is a valid actor=CUSTOMER transition per the state machine already in the skeleton; PENDING-&gt;CANCELLED should also be allowed — confirm this exact case is handled in BookingStatus.java, add it if missing) — must throw IllegalStateException (already the pattern in the repo) on any illegal transition, do not silently allow.
   Also appends a booking_events row (event_type='CANCELLED', actor_type='customer', metadata={"reason":"..."}).
5. GET /api/v1/bookings/{bookingId}/events   (read the append-only timeline)
   Response 200: [ { "eventType":"CREATED","actorType":"customer","createdAt":"..." }, { "eventType":"CANCELLED","actorType":"customer","metadata":{"reason":"..."},"createdAt":"..." } ]
DATA TYPES: finalAmountPaise/totalRefundedPaise/commissionPaise/pricePaiseSnapshot = integer paise, never float. status = exact state machine string values (UPPER_SNAKE per the existing BookingStatus.java — confirm exact casing in that file before implementing, do not guess a different casing).
ACCEPTANCE CRITERIA:
  - Every status transition in this ticket's scope goes through the existing BookingStatus.java, not ad-hoc if-checks — write a test that an illegal transition (e.g. PENDING directly to COMPLETED) throws IllegalStateException.
  - booking_events row is written for every status change and for creation, and the table is proven append-only (same REVOKE-privilege manual test as BMP-3).
  - price_paise_snapshot on booking_service_item does NOT change even if salon_service.price_paise is updated afterward (proves the "frozen at booking creation" rule) — write this as an explicit test: change the service price after booking, re-GET the booking, confirm the old price still shows.
DEPENDS ON: BMP-23/BMP-24 (needs real salon_id/stylist_id/service_id to attach bookings to), BMP-22 (needs real customer_id).
BLOCKS: BMP-26 (payment_order needs a real booking_id to attach to), and all of Phase 3's webhook-driven confirmation logic.</t>
  </si>
  <si>
    <t xml:space="preserve">WHAT: Visit or call 3 real candidate pilot salons (Koramangala/HSR/Indiranagar) and get their ACTUAL current weekly operating pattern — not idealized, the messy real version. This is the raw input for BMP-11 (paper design of the availability model). This is a non-technical, easy task — no code, just structured data collection.
WHERE: Output goes into a new file docs/design-documents/BMP_Pilot_Salon_Schedules.md (or a simple spreadsheet), referenced from BMP-11.
EXACT DATA TO COLLECT PER SALON (repeat for all 3):
  1. Salon operating hours per day of week (open_time, close_time) — note any day fully closed.
  2. Number of stylists, and per stylist:
     - Their working days
     - Their daily start/end time
     - Fixed lunch/break windows (same time every day, or does it vary?)
     - How far in advance do they know their own leave (same day? week ahead?)
  3. How does the salon currently handle a walk-in customer with no appointment? (paper register? verbal? nothing?)
  4. How often, in a typical week, does a stylist's schedule change LAST MINUTE (sick day, personal emergency)? Get a real number/estimate.
  5. Does the salon consider its own posted hours vs. an individual stylist's hours as the source of truth when they conflict? (e.g. salon open till 9pm but a stylist leaves at 7pm)
  6. For multi-service appointments (e.g. haircut + facial), does the same customer always get the same stylist for both, or is it commonly split across two stylists working in parallel?
DELIVERABLE FORMAT: One row/section per salon per stylist, in a simple table: Salon | Stylist | Mon-Sun hours | Break pattern | Leave notice period | Walk-in handling today.
WHY: AvailabilityApi.java in the repo is intentionally a stub with 6 open design questions — those questions cannot be answered correctly from imagination. They must be answered against real salon behavior, per the repo's own instruction: "designed ON PAPER against 3 real salons' actual weeks BEFORE any table behind this interface is created."
ACCEPTANCE CRITERIA:
  - Real (not hypothetical) data from 3 confirmed pilot-candidate salons.
  - Saved as a document, linked from CONTEXT.md.
  - Handed directly into BMP-11.
DEPENDS ON: none — can start immediately, ideally in parallel with BMP-1/2/3/6.
BLOCKS: BMP-11 (paper design), and therefore everything under the Availability epic (BMP-12/13/14/15/16).</t>
  </si>
  <si>
    <t xml:space="preserve">WHAT: A structured working session (not solo) where all 3 founders go through the 6 explicit open questions in bmp-salon/src/main/java/com/bmp/salon/api/AvailabilityApi.java's javadoc, using the real data gathered in BMP-10, and write down a concrete answer to each — this becomes the schema behind AvailabilityApi.
WHERE: New file docs/design-documents/BMP_Availability_Paper_Design.md, linked from CONTEXT.md as a new "Module: Availability" section once approved (BMP-12).
THE 6 QUESTIONS TO ANSWER, ONE BY ONE (copied verbatim from the repo javadoc):
  1. Slot granularity: fixed 15/30-min grid vs duration-derived free slots?
     → Decide: e.g. "30-minute grid, service durations rounded up to nearest 30 min" OR "exact duration-derived, no grid." State which, and why, using BMP-10's real stylist schedules as the test case.
  2. How does a receptionist block a walk-in in &lt; 5 seconds?
     → Decide the exact UI+backend interaction (e.g. tap stylist → tap "Block Now" → auto-fills current time + default duration). This directly defines the request shape of BMP-15's blockWalkIn().
  3. Stylist breaks/lunch: recurring template vs per-day exceptions?
     → Decide the stylist_availability.rule_type behavior precisely: how weekly_template, exception, and leave rows combine. Give a worked example using one real stylist from BMP-10.
  4. Leave and sudden absence with future bookings already taken?
     → Decide: does this trigger booking_disruption automatically? What's the exact sequence (already partially answered in Module 3: Booking — cross-reference booking_disruption's `salon_deadline` and `rejection_count` fields).
  5. Salon hours vs individual stylist hours — which wins on conflict?
     → Decide a strict precedence rule, e.g. "intersection always — a stylist can never be bookable outside salon_hours even if their personal template says they're working."
  6. Multi-service bookings spanning slot boundaries?
     → Decide how booking_service_item rows for a combo (e.g. haircut then facial) chain their service_start/service_end, and whether they must use the same stylist or can run in parallel per BMP-10's finding on real salon practice.
DELIVERABLE FORMAT: One clearly-labeled answer per question (Q1 through Q6), each 2-5 sentences, each citing which real salon/stylist example from BMP-10 informed the decision.
WHY: The repo's own AvailabilityApi.java javadoc states this is intentionally a stub and flags this as "the hardest and most important data model in the product" that must be designed ON PAPER against real salons before any table is created. Skipping this and coding directly risks building the wrong model — exactly the trust-collapse failure mode that killed prior Indian salon marketplaces (see CONTEXT.md "The Problem BMP Solves").
ACCEPTANCE CRITERIA:
  - All 6 questions have a specific, concrete answer (not "TBD" or "we'll figure it out in code").
  - Document reviewed by all 3 founders together, not written by one person alone.
  - Ready to be signed off in BMP-12.
DEPENDS ON: BMP-10 (needs real salon data as input).
BLOCKS: BMP-12 (sign-off), BMP-13/14/15 (implementation), BMP-16 (V004 migration).</t>
  </si>
  <si>
    <t xml:space="preserve">WHAT: The Java interface AvailabilityApi already exists in the repo at bmp-salon/src/main/java/com/bmp/salon/api/AvailabilityApi.java. This ticket documents (a) that interface as the internal module contract, and (b) the REST layer the customer/salon apps actually call, since booking module and mobile apps need an HTTP boundary, not a Java one.
WHERE: New file docs/design-documents/BMP_LLD_AvailabilityApi.md, linked from CONTEXT.md under 'What to Build Next' #4.
PART A — Internal Java contract (copy exactly from the repo, do not modify):
  public interface AvailabilityApi {
      List&lt;Slot&gt; freeSlots(UUID salonId, UUID stylistId, LocalDate date, int durationMinutes);
      List&lt;Slot&gt; freeSlotsAnyStylist(UUID salonId, LocalDate date, int durationMinutes);
      void blockWalkIn(UUID salonId, UUID stylistId, LocalDate date, LocalTime start, int durationMinutes);
      record Slot(LocalTime start, LocalTime end, UUID stylistId) {}
  }
  Consumed ONLY by bmp-booking — no other module may call it directly.
PART B — Proposed REST endpoints (draft, to be implemented in bmp-app's web layer, calling into bmp-salon):
  1) GET /api/v1/salons/{salonId}/stylists/{stylistId}/availability?date=2026-07-20&amp;durationMinutes=45
     Response 200 (application/json):
     {
       "salonId": "3fa85f64-5717-4562-b3fc-2c963f66afa6",
       "stylistId": "7c9e6679-7425-40de-944b-e07fc1f90ae7",
       "date": "2026-07-20",
       "durationMinutes": 45,
       "slots": [
         { "start": "10:00", "end": "10:45" },
         { "start": "11:15", "end": "12:00" }
       ]
     }
     Error responses: 404 if salonId/stylistId not found; 400 if durationMinutes &lt;= 0 or date is in the past.
  2) GET /api/v1/salons/{salonId}/availability?date=2026-07-20&amp;durationMinutes=45&amp;serviceId=...
     (maps to freeSlotsAnyStylist) Response 200:
     {
       "salonId": "...",
       "date": "2026-07-20",
       "slots": [
         { "start": "10:00", "end": "10:45", "stylistId": "..." },
         { "start": "10:30", "end": "11:15", "stylistId": "..." }
       ]
     }
  3) POST /api/v1/salons/{salonId}/stylists/{stylistId}/walk-in-block
     Request body:
     { "date": "2026-07-20", "start": "14:30", "durationMinutes": 30 }
     Response 201:
     { "bookingServiceItemId": "uuid-of-created-block", "status": "blocked" }
     Must respond in under 5 seconds end-to-end — explicit requirement from the AvailabilityApi javadoc, since this is called from the salon receptionist's quick-add UI.
     Error responses: 409 if the slot is no longer free (race with another booking/lock).
DATA TYPES REFERENCE:
  salonId, stylistId, bookingServiceItemId → UUID (string, UUIDv7)
  date → ISO-8601 date string "YYYY-MM-DD"
  start, end → ISO-8601 time string "HH:mm" (24-hour)
  durationMinutes → integer, minutes
ACCEPTANCE CRITERIA:
  - Document reviewed against the actual AvailabilityApi.java signatures (must match exactly, no drift).
  - REST shapes above reviewed by whoever builds the mobile/web client, adjusted if the client needs different field names.
  - Linked from CONTEXT.md.
DEPENDS ON: none (interface already exists in repo) — but should be read alongside BMP-11's eventual answers, since slot granularity affects the exact `slots` array contents.
BLOCKS: Frontend/mobile integration work (not yet ticketed) and gives BMP-13/14/15 a concrete target to implement against.</t>
  </si>
  <si>
    <t xml:space="preserve">WHAT: A short, explicit approval step — read BMP-11's 6 answers together one more time as a final check, then record sign-off. This is deliberately separate from BMP-11 itself so that "we discussed it" and "we formally locked it" aren't conflated.
WHERE: Add to the bottom of docs/design-documents/BMP_Availability_Paper_Design.md:
  "Approved by: Darshan (date), Shivam (date), Achyuth (date) — availability schema may now be built against these answers."
  Add a Session Log entry to CONTEXT.md per its own documented convention (see "How to Add to This File" section):
  #### Turn N — Availability model paper design locked
  **Decided:** [1-line summary of each of the 6 answers]
  **Tables/files affected:** salon_schema.stylist_availability (and any new tables identified in BMP-11)
WHAT TO CHECK BEFORE SIGNING:
  1. Every one of the 6 questions in AvailabilityApi.java's javadoc has a specific answer in BMP-11's doc — none skipped.
  2. The answers don't contradict any already-locked decision in CONTEXT.md (e.g. Schema Rules, Module 3: Booking's disruption model).
  3. All 3 founders are actually present/responding — not a rubber stamp from one person.
WHY: The repo's own comment on AvailabilityApi.java is explicit: "it must be designed ON PAPER against 3 real salons' actual weeks BEFORE any table behind this interface is created" and CONTEXT.md's Rules for the file say "Never change a locked decision without noting team discussion date." This ticket IS that formal lock.
ACCEPTANCE CRITERIA:
  - All 3 signatures/dates present.
  - CONTEXT.md Session Log updated.
  - BMP-13/14/15/16 can now start (previously blocked).
DEPENDS ON: BMP-11.
BLOCKS: BMP-13, BMP-14, BMP-15, BMP-16 — nothing here may start before this sign-off exists.</t>
  </si>
  <si>
    <t xml:space="preserve">WHAT: Write the Flyway migration that creates the real backing tables for the availability model, per the answers locked in BMP-11 and approved in BMP-12. The repo README literally says: "Before writing the availability migration (V004)... approved by all founders" — this ticket IS that V004 migration, and it CANNOT start before BMP-12's sign-off exists.
WHERE: bmp-app/src/main/resources/db/migration/V004__availability_model.sql
(Confirm V004 is still the next free number — if V002/V003 were consumed by admin_schema/notification_schema migrations from BMP-4/BMP-6's work, renumber accordingly; Flyway requires strictly increasing, never-reused version numbers.)
WHAT GOES IN THIS FILE (exact contents depend on BMP-11's answers — this is the expected shape based on the schema already partially described in CONTEXT.md Module 2: Salon):
  - salon_schema.stylist_availability already has a documented shape (rule_type: weekly_template/exception/leave; slot_type: working/break/leave; blocks_booking) — this migration finalizes its exact columns per BMP-11 Q3.
  - If BMP-11 Q2 (walk-in blocking) concluded a dedicated table is needed (rather than reusing booking_service_item), define it here, e.g. salon_schema.walk_in_block (id, salon_id, stylist_id, date, start_time, duration_minutes, created_by_staff_id, created_at).
  - Indexes needed for the freeSlots() query pattern (BMP-13): composite index on (stylist_id, date) at minimum, since that's the primary lookup.
VERIFICATION STEPS:
  1. mvn verify (includes ArchUnit — confirm no boundary violations introduced).
  2. Manually insert one real stylist's week from BMP-10's data, run a free-slot calculation by hand against the DB, confirm the schema can actually represent it (breaks, one leave day, etc.) without contortion.
ACCEPTANCE CRITERIA:
  - Migration only merged AFTER BMP-12's sign-off is recorded (check CONTEXT.md Session Log before starting).
  - Schema can represent every real-world case documented in BMP-10 (breaks, leave, salon-vs-stylist hour conflicts) without needing app-code workarounds.
  - mvn verify green.
DEPENDS ON: BMP-12 (hard gate — do not start early).
BLOCKS: BMP-13, BMP-14, BMP-15 (all three implementation tickets read/write these tables).
MIGRATION NUMBER CONFIRMED: V004 is explicit in V001's own trailing comment: 'V004 salon_schema: AVAILABILITY MODEL — do NOT write this before the paper design against 3 real salons is approved (T4)' — this matches BMP-12's gate exactly.</t>
  </si>
  <si>
    <t xml:space="preserve">WHAT: Implement the first and most important AvailabilityApi method — free slots for ONE specific stylist on ONE date for a given service duration. This is explicitly called out in CONTEXT.md as "the calendar-truth problem. Getting this wrong kills the product" — every prior Indian salon marketplace (Fabogo, Vyomo, Bulbul, Zoylee) reportedly failed on exactly this.
JAVA SIGNATURE (from the repo, exact):
  List&lt;Slot&gt; freeSlots(UUID salonId, UUID stylistId, LocalDate date, int durationMinutes);
  record Slot(LocalTime start, LocalTime end, UUID stylistId) {}
WHERE: bmp-salon/src/main/java/com/bmp/salon/internal/availability/AvailabilityService.java
REST layer (per BMP-17): GET /api/v1/salons/{salonId}/stylists/{stylistId}/availability?date=2026-07-20&amp;durationMinutes=45
RESPONSE JSON:
  200: { "salonId":"uuid","stylistId":"uuid","date":"2026-07-20","durationMinutes":45,"slots":[ {"start":"10:00","end":"10:45"}, {"start":"11:15","end":"12:00"} ] }
  404 if salon/stylist not found. 400 if durationMinutes &lt;= 0 or date is in the past.
ALGORITHM — EXACT STEPS (A-Z), operating on 5 data sources in this order (cheapest/fastest checks first):
  1. FAST KILL SWITCH: read stylist_salon.is_available_today for this stylist+salon. If false, return empty list immediately — skip all further computation (documented as "the fastest availability check, flipped in one tap").
  2. SALON HOURS: read salon_schema.salon_hours for (salonId, date's day_of_week) → get open_time/close_time. Remember: close_time means slots must END by this time, not start (explicit rule from CONTEXT.md).
  3. STYLIST WORKING WINDOWS: read salon_schema.stylist_availability for this stylist+date, resolve per BMP-11/BMP-16's locked rule: weekly_template MINUS exception rows MINUS leave rows = the stylist's actual working windows for that specific date.
  4. CONFLICT RESOLUTION: intersect salon hours with stylist working windows per BMP-11 Q5's locked precedence rule (expected: intersection always wins, stylist can never be bookable outside salon hours).
  5. EXISTING BOOKINGS: read booking_schema.booking_service_item WHERE stylist=X AND date=Y AND item_status='active' → subtract these [service_start, service_end) ranges from the window.
  6. LIVE CHECKOUT LOCKS: query Redis slot_lock for this stylist+date → subtract any currently-locked ranges (someone else is mid-checkout — 5 minute TTL).
  7. SLICE INTO SLOTS: cut the remaining free time into candidate slots of exactly durationMinutes, using the granularity locked in BMP-11 Q1 (fixed grid vs duration-derived — implement whichever was decided, do not default to one without checking).
  8. Return as List&lt;Slot&gt;, each with (start, end, stylistId) — sorted ascending by start time.
DB TABLES TOUCHED (read-only in this method — it never writes): salon_schema.stylist_salon, salon_schema.salon_hours, salon_schema.stylist_availability, booking_schema.booking_service_item. Redis: slot_lock keys.
PERFORMANCE NOTE: This method will be called on every single customer browsing a stylist's calendar — must be fast (target: comfortably under 200ms). Use the composite index from BMP-16 on (stylist_id, date); avoid N+1 queries across the 4 data sources — batch-fetch each in one query.
ACCEPTANCE CRITERIA (write these as actual automated tests, using real patterns from BMP-10's collected data):
  - A stylist with no bookings and full salon-hours availability returns the expected full set of slots.
  - A stylist with one existing booking correctly has exactly that window removed, not the whole day.
  - A stylist on leave for the whole day returns an empty list.
  - A slot outside salon hours (even if stylist_availability says "working") is correctly excluded — proves the intersection rule from BMP-11 Q5.
  - A slot with an active Redis lock is excluded, and reappears in results once the lock's TTL expires.
  - is_available_today=false short-circuits to an empty list without querying the other 3 data sources (verify via query count/logging, not just the result).
DEPENDS ON: BMP-16 (tables must exist), BMP-11/BMP-12 (design must be locked — this is the highest-risk ticket to build on an unlocked design).
BLOCKS: BMP-14 (reuses this method's core logic), BMP-15 (walk-in blocking must respect the same free/busy computation), and the entire customer booking flow.</t>
  </si>
  <si>
    <t xml:space="preserve">WHAT: Implement the third method of AvailabilityApi — the receptionist "block this stylist right now for a walk-in" action.
JAVA SIGNATURE (from the repo, exact):
  void blockWalkIn(UUID salonId, UUID stylistId, LocalDate date, LocalTime start, int durationMinutes);
WHERE: bmp-salon/src/main/java/com/bmp/salon/internal/availability/AvailabilityService.java (implements AvailabilityApi)
REST layer (per BMP-17's contract): POST /api/v1/salons/{salonId}/stylists/{stylistId}/walk-in-block
REQUEST JSON (from the salon dashboard/app):
  { "date": "2026-07-20", "start": "14:30", "durationMinutes": 30 }
RESPONSE JSON:
  201 Created: { "bookingServiceItemId": "uuid", "status": "blocked" }
  409 Conflict (someone else booked/locked this slot first): { "error": "SLOT_NO_LONGER_AVAILABLE" }
  400 Bad Request: { "error": "OUTSIDE_SALON_HOURS" } or { "error": "STYLIST_NOT_WORKING" }
IMPLEMENTATION STEPS (A-Z):
  1. Validate salon_hours: requested start+duration must fall within the salon's open/close window for that day_of_week.
  2. Validate stylist_availability: stylist must be in a 'working' slot_type at that time (not break/leave) per whatever model BMP-11/BMP-16 locked in.
  3. Check stylist_salon.is_available_today — if false, reject immediately (fast-path kill switch, checked FIRST since it's the cheapest check, per the documented priority in CONTEXT.md Module 2).
  4. Acquire the Redis slot_lock for (stylistId, date, start-end range) — same mechanism used by regular booking checkout (slot_lock table/Redis key), so a walk-in block and a customer mid-checkout can't both win the same slot.
  5. Insert the blocking row (booking_service_item with a system-generated booking of a special type, OR a dedicated walk_in_block table — whichever BMP-16 created) inside the same transaction as releasing/confirming the lock.
  6. Return 201 with the created row's id.
  7. Whole request (steps 1-6) must complete in under 5 seconds — this is an explicit constraint from the interface's javadoc, driven by real receptionist UX (a slow tool means they'll go back to the paper register). Add a timing log/metric around this method specifically.
DB TABLES TOUCHED: salon_schema.salon_hours (read), salon_schema.stylist_availability (read), salon_schema.stylist_salon (read), Redis slot_lock (write), booking_schema.booking_service_item or new walk_in_block table (write).
ACCEPTANCE CRITERIA:
  - End-to-end call completes in under 5 seconds in local testing (log and check the number, don't just assume).
  - Two simultaneous requests for the exact same slot: exactly one succeeds (201), the other gets 409 — write a concurrency test proving this (e.g. two threads hitting the same slot at once).
  - A blocked walk-in slot correctly disappears from a subsequent BMP-13 freeSlots() call for that stylist/date.
DEPENDS ON: BMP-16 (tables must exist), BMP-11/12 (design must be locked — this cannot be built on guessed schema).
BLOCKS: none downstream, but should be tested alongside BMP-13 since they share the same underlying availability data.</t>
  </si>
  <si>
    <t xml:space="preserve">WHAT: Implement the second AvailabilityApi method — used for services where `salon_service.requires_stylist_assignment = false` (walk-in pool services) and for customers who don't care which stylist they get.
JAVA SIGNATURE (from the repo, exact):
  List&lt;Slot&gt; freeSlotsAnyStylist(UUID salonId, LocalDate date, int durationMinutes);
WHERE: bmp-salon/src/main/java/com/bmp/salon/internal/availability/AvailabilityService.java
REST layer (per BMP-17): GET /api/v1/salons/{salonId}/availability?date=2026-07-20&amp;durationMinutes=45&amp;serviceId=uuid
RESPONSE JSON:
  200: { "salonId":"uuid","date":"2026-07-20","slots":[ { "start":"10:00","end":"10:45","stylistId":"uuid" }, { "start":"10:30","end":"11:15","stylistId":"uuid" } ] }
  (Note: unlike freeSlots(), each returned slot carries its own stylistId since results span multiple stylists.)
IMPLEMENTATION STEPS (A-Z):
  1. Query salon_schema.stylist_service to find every stylist at this salon who is qualified for the given serviceId (per CONTEXT.md: "Stylist picker filter — shows only stylists with active stylist_service row for that service").
  2. Further filter to stylist_salon.status = 'active' (never include alumni stylists) AND is_available_today = true (the fast kill-switch check first, before the expensive per-stylist slot computation).
  3. For each remaining stylist, call the SAME core interval computation as BMP-13's freeSlots() (salon_hours ∩ stylist_availability − booked − locked) — this should reuse a shared private method, not duplicate the algorithm.
  4. Merge all stylists' free slots into one flat list, each entry tagged with its stylistId.
  5. Sort by start time (customers expect earliest-first).
  6. If `salon.stylist_assignment_strategy = 'least_loaded'`, additionally compute each stylist's booking count today and prefer/annotate the least-loaded stylist when multiple stylists offer the identical time slot (avoid literally duplicate time entries — collapse to the least-loaded stylist's version per the locked assignment strategy).
DB TABLES TOUCHED (read-only): salon_schema.stylist_service, salon_schema.stylist_salon, salon_schema.salon_hours, salon_schema.stylist_availability, booking_schema.booking_service_item; Redis slot_lock.
ACCEPTANCE CRITERIA:
  - Given 3 stylists with overlapping and non-overlapping free windows, output correctly unions and sorts them (write a test fixture with exactly this shape).
  - Alumni or is_available_today=false stylists never appear in results (explicit negative test).
  - least_loaded strategy correctly avoids showing 3 duplicate time entries for the same slot across 3 equally-free stylists.
DEPENDS ON: BMP-13 (share the core interval-computation logic rather than reimplementing it), BMP-16 (tables), BMP-11/12 (design locked).
BLOCKS: none downstream — feeds directly into the booking flow's "any available" selection_type.</t>
  </si>
  <si>
    <t xml:space="preserve">WHAT: This is not a coding task — it's a call/email with Razorpay's team (or your Razorpay account manager / integration support) to get written confirmation on exactly how Route will behave for BMP, before BMP-payment code is written against assumptions.
WHERE: Output goes into CONTEXT.md under Module 4: Payment, as a new subsection "Razorpay Route — Confirmed" with the answers below and a link/screenshot of Razorpay's written confirmation (email or docs page).
EXACT QUESTIONS TO GET ANSWERED (bring this list to the call/email):
  1. Split confirmation: Does Route support an instant 88% (salon) / 12% (BMP) split AT CAPTURE (not T+1, not batch)? Confirm the exact API parameter name for this (e.g. `transfers` array on the order/payment create call).
  2. Linked account KYC: What are the exact `verification_status` values Razorpay returns for a linked (sub-merchant) account? Map these 1:1 to your planned ENUM: pending / verified / failed_retrying / failed_blocked.
  3. Settlement timing: For a linked account, what is the actual T+N settlement delay to the salon's bank account after a transfer is created?
  4. Webhook reliability: Which webhook events fire for (a) payment captured, (b) transfer processed, (c) transfer failed, (d) refund processed? Get exact event name strings, e.g. `payment.captured`, `transfer.processed`.
  5. Refund API: Confirm the refund call can target a specific transfer/split (not just the parent payment) — needed since BMP does partial/salon-discretion refunds.
  6. Rate limits: Any rate limit on webhook volume or API calls relevant at pilot scale (300-500 salons)?
DELIVERABLE FORMAT: A short written summary (half a page) pasted into CONTEXT.md with each of the 6 questions above and Razorpay's actual answer, plus the source (email thread / call notes date / docs URL).
WHY: payment_order, webhook_event, and razorpay_linked_account schemas are already designed on ASSUMPTIONS about Route. Building payment module code before confirming these 6 points risks a rebuild once real Razorpay behavior is known.
ACCEPTANCE CRITERIA:
  - All 6 questions above have a written answer from Razorpay (not guessed).
  - Answers pasted into CONTEXT.md.
  - Any mismatch with the current payment_schema design flagged to the team before BMP-payment coding starts.
DEPENDS ON: none — can start immediately, runs in parallel with schema tasks.
BLOCKS: Confident implementation of bmp-payment module (not yet scheduled as a ticket).</t>
  </si>
  <si>
    <t xml:space="preserve">WHAT: Implement a NotificationSender for the 'push' channel using Firebase Cloud Messaging (FCM), as the fallback when the WhatsApp send (BMP-8) fails or the user has no WhatsApp linked.
WHERE: bmp-notification/src/main/java/com/bmp/notification/internal/push/FcmNotificationSender.java
Implements a shared internal interface, e.g. `NotificationSender` (create this interface if it doesn't exist yet — method: `SendResult send(NotificationLog entry)`).
INPUT (from notification_log row created by BMP-6's table, consumed by the OutboxProcessor from BMP-7):
  {
    "recipientUserId": "uuid",
    "channel": "push",
    "templateCode": "BOOKING_CONFIRMED",
    "payload": { "salonName": "Glow Salon", "bookingRef": "BMP-2026-00891", "time": "5:30 PM" }
  }
FCM CALL SHAPE (what you send to Firebase):
  POST https://fcm.googleapis.com/v1/projects/{project-id}/messages:send
  Request body:
  {
    "message": {
      "token": "&lt;device FCM token, looked up by recipientUserId&gt;",
      "notification": { "title": "Booking Confirmed", "body": "Your appointment at Glow Salon is confirmed for 5:30 PM" },
      "data": { "bookingRef": "BMP-2026-00891" }
    }
  }
  Expected response: 200 with a `name` field (message id) on success; 4xx/5xx with an `error.status` field on failure (e.g. `UNREGISTERED` = token invalid/expired, `SENDER_ID_MISMATCH`).
WHAT THE STUB MUST DO:
  1. Look up the recipient's device FCM token (note: device token storage table doesn't exist yet — flag this as a dependency; propose adding `device_token` column to user_schema or a small new table `user_schema.user_device`).
  2. Render templateCode + payload into a human title/body (simple string templates are fine for the stub).
  3. Call FCM, capture the response.
  4. Update notification_log.status to 'sent' or 'failed', set provider_message_id or error_reason accordingly.
ACCEPTANCE CRITERIA:
  - Stub compiles and sends a real test push to at least one real device/emulator.
  - Failure path (invalid token) correctly sets status='failed' with error_reason populated, does not throw uncaught.
  - Device token storage gap flagged explicitly to the team (needed before this goes to production, not necessarily blocking the stub).
DEPENDS ON: BMP-6 (notification_log table).
BLOCKS: none directly — parallel fallback to BMP-8.</t>
  </si>
  <si>
    <t xml:space="preserve">SERVICE: bmp-user   SCHEMA: user_schema   TABLES: otp_requests, refresh_tokens (already created in V002 by BMP-22 — this ticket adds the logic, not new tables)
FILES: bmp-user/src/main/java/com/bmp/user/internal/OtpService.java, AuthController.java
COLUMNS RECAP (from CONTEXT.md, already locked):
  otp_requests: id, phone (NO FK to users — OTP sent before user row may exist), otp_hash (bcrypt, never plaintext), attempts INT, locked_until (after 3 failures, 10-min lockout), expires_at (= created_at + 5 minutes), created_at.
  refresh_tokens: id, user_id FK, token_hash (bcrypt), device_fingerprint, revoked BOOLEAN, created_at, expires_at.
ENDPOINTS:
1. POST /api/v1/auth/otp/request
   Request: { "phone":"+919876543210" }
   Response 200: { "otpRequestId":"uuid","expiresAt":"2026-07-31T10:35:00Z" }
   Logic: generate a random 6-digit code, bcrypt-hash it into otp_requests.otp_hash, send via WhatsApp (BMP-8) with SMS fallback if WhatsApp unavailable — this is the FIRST real caller of the notification integration, connecting Phase 1's stub (BMP-30) to Phase 3's real send (BMP-8).
   Rate-limit: reject with 429 if an unexpired otp_requests row already exists for this phone within the last 60 seconds (basic spam protection).
2. POST /api/v1/auth/otp/verify
   Request: { "phone":"+919876543210","otp":"482913","deviceFingerprint":"..." }
   Response 200 success: { "userId":"uuid","refreshToken":"opaque-token-string","accessToken":"jwt-string","expiresIn":900 } — creates a users row if one doesn't exist yet (first-time signup), else logs in the existing one.
   Response 400 wrong code: { "error":"OTP_INCORRECT","attemptsRemaining":2 } — increments otp_requests.attempts.
   Response 423 locked: { "error":"OTP_LOCKED","lockedUntil":"..." } — after 3 failed attempts, per the 10-minute lockout rule.
   Response 410 expired: { "error":"OTP_EXPIRED" } — if now() &gt; expires_at.
3. POST /api/v1/auth/refresh
   Request: { "refreshToken":"opaque-token-string" }
   Response 200: { "accessToken":"new-jwt-string","expiresIn":900 }
   Response 401 if token revoked or expired.
4. POST /api/v1/auth/logout
   Request: { "refreshToken":"opaque-token-string" }
   Response 204. Sets refresh_tokens.revoked=true for that specific device only (per-device revocation, not all devices).
ACCEPTANCE CRITERIA:
  - OTP hash never stored or logged in plaintext anywhere (grep logs after a test run).
  - 3 wrong attempts correctly locks for 10 minutes, 4th attempt within that window returns 423 even with the correct code.
  - Two devices for the same user have independent refresh_tokens rows; logging out one device doesn't revoke the other.
DEPENDS ON: BMP-22 (user_schema tables), BMP-8 (WhatsApp send, for the actual OTP delivery — can stub/log-only until BMP-8 lands, but production behavior needs it).
BLOCKS: BMP-32 (authorization needs a real authenticated principal to check roles against).</t>
  </si>
  <si>
    <t xml:space="preserve">SERVICE: bmp-app (cross-cutting, applies to all controllers in every module since it's the single deployable)
FILES: bmp-app/src/main/java/com/bmp/app/security/JwtAuthFilter.java, SecurityConfig.java, and a custom @RequireRole annotation used across bmp-user/bmp-salon/bmp-booking/etc controllers.
WHAT THIS ADDS ON TOP OF PHASE 1's OPEN ENDPOINTS: every endpoint built in Phase 1 (BMP-22 through BMP-30) was deliberately built WITHOUT auth so CRUD could be tested directly. This ticket adds the enforcement layer back on top, without changing any request/response JSON shapes from Phase 1 — only adding a required `Authorization: Bearer &lt;jwt&gt;` header and 401/403 responses.
MECHANISM:
  1. JwtAuthFilter runs on every request, extracts the Bearer token issued by BMP-31's /auth/otp/verify or /auth/refresh, validates signature + expiry, sets the authenticated principal (userId + roles from user_roles, OR staffId + role from bmp_staff for internal endpoints) in the Spring SecurityContext.
  2. Missing/invalid/expired token → 401: { "error":"UNAUTHORIZED" }
  3. Valid token but wrong role for the endpoint → 403: { "error":"FORBIDDEN","requiredRole":"salon_owner" }
ROLE MAPPING TO ENDPOINTS (apply @RequireRole to the Phase 1 endpoints retroactively — this is the actual work of this ticket):
  - Customer-only: POST /api/v1/bookings, POST /api/v1/bookings/{id}/review, GET /api/v1/users/{userId}/wallet (only for self).
  - salon_owner/manager-only: PUT /api/v1/salons/{salonId} (must also check salon_id matches their user_roles.salon_id), POST /api/v1/salons/{salonId}/stylists, PUT .../available-today.
  - bmp_staff-only (separate auth entirely, per Schema Rule #8 — a DIFFERENT JWT issuer/claim than customer tokens): PUT /api/v1/staff/{staffId}/status, GET /api/v1/audit-log, all /api/v1/support-tickets endpoints.
  - Public/no-auth: POST /api/v1/auth/otp/request, POST /api/v1/auth/otp/verify (these issue tokens, can't require one).
IMPORTANT ARCHITECTURAL CONSTRAINT: because bmp_staff has ZERO shared auth infrastructure with users (Schema Rule #8), this ticket needs TWO SEPARATE JWT issuers/signing configurations — a customer/salon-owner token type and a bmp_staff token type — and the filter must reject a staff token used on a customer endpoint and vice versa, not just check role name equality. Add a `tokenType` claim ('user' | 'staff') and check it explicitly, in addition to role.
ACCEPTANCE CRITERIA:
  - Every Phase 1 endpoint that should require auth now returns 401 with no token.
  - A customer JWT used against a bmp_staff-only endpoint returns 403 (not 401 — token is valid, just wrong audience), and this is proven with an explicit test, not assumed.
  - A salon_owner for Salon A gets 403 attempting to PUT Salon B (cross-tenant check, not just role check).
  - Public endpoints (OTP request/verify) remain reachable with no token.
DEPENDS ON: BMP-31 (needs real JWTs to validate), and effectively touches every Phase 1 CRUD ticket's controllers (BMP-22 through BMP-30) to add the @RequireRole annotations.
BLOCKS: production readiness of every endpoint built so far — this is the last ticket before the API surface is safe to expose outside the local dev team.</t>
  </si>
  <si>
    <t xml:space="preserve">WHAT: Implement the consumer half of the outbox pattern (the publisher half, OutboxPublisher, already exists per CONTEXT.md's file list) for the notification module — the scheduled job that turns outbox events into actual sent notifications.
WHERE: bmp-notification/src/main/java/com/bmp/notification/internal/OutboxProcessor.java (file already named/referenced in CONTEXT.md's Documents and Files list — implement it fully).
EXACT MECHANISM (from CONTEXT.md's documented Outbox Pattern section):
  Service writes to DB + inserts outbox_entry in SAME transaction
  → OutboxProcessor (scheduled, SKIP LOCKED) reads outbox
  → Publishes domain event to consuming module
  → Consuming module processes and marks outbox entry done
IMPLEMENTATION STEPS (A-Z):
  1. @Scheduled method, fixed delay e.g. every 5 seconds (confirm interval with team — trade-off between latency and DB load).
  2. Query: SELECT * FROM bmp_common.outbox WHERE processed_at IS NULL AND target_module = 'notification' ORDER BY created_at LIMIT 50 FOR UPDATE SKIP LOCKED
     (SKIP LOCKED is critical — if you run 2 app instances, both can poll concurrently without double-processing the same row or blocking each other.)
  3. For each outbox row: deserialize its event payload JSONB into a typed event (e.g. BookingConfirmedEvent, OtpRequestedEvent).
  4. Map event type → template_code, build the notification_log INSERT (status='queued') in the SAME transaction as marking the outbox row processed_at = now().
  5. After commit, hand off to the appropriate NotificationSender (BMP-8 WhatsApp primary, BMP-9 push fallback) — this second step can be async/separate from the outbox-marking transaction, since notification_log is now the durable record of intent.
  6. If a send fails, do NOT re-insert into outbox — retry logic lives at the notification_log level (a separate small retry scheduler, or manual resend), not by re-processing the same outbox entry twice.
  7. Idempotency: outbox row's unique id ensures each event is claimed by exactly one processor instance; notification_log should also have a unique constraint on (outbox_entry_id) to guarantee no duplicate notification_log row even under retry.
WHAT "DONE" LOOKS LIKE (verify manually):
  - Trigger a real event (e.g. call the booking-confirm flow, or manually insert a test outbox row).
  - Confirm outbox row gets processed_at set within one polling interval.
  - Confirm exactly one notification_log row is created — run the same test with 2 local app instances running simultaneously to prove SKIP LOCKED prevents double-send.
ACCEPTANCE CRITERIA:
  - Running two instances of bmp-app locally against the same DB, triggering one event, produces exactly one notification_log row (not two) — this is the key exactly-once proof.
  - Unprocessed outbox rows are picked up within one scheduler interval under normal load.
  - A malformed/unparseable outbox payload does not crash the scheduler loop (log and skip, don't throw and halt).
DEPENDS ON: BMP-6 (notification_log table must exist to write into).
BLOCKS: BMP-8 and BMP-9 becoming end-to-end functional in production (they can be unit-tested standalone before this, but need this to receive real traffic).</t>
  </si>
  <si>
    <t xml:space="preserve">WHAT: Implement the WhatsApp NotificationSender using MSG91's WhatsApp Business API, for OTP delivery (highest priority — blocks login) and booking-lifecycle notifications (confirmed, reminder, review prompt).
WHERE: bmp-notification/src/main/java/com/bmp/notification/internal/whatsapp/Msg91NotificationSender.java
Implements the same `NotificationSender` interface as BMP-9's FCM sender.
Config: application.yml — add `msg91.auth-key`, `msg91.whatsapp.integrated-number`, stored as environment-variable-backed secrets, never committed.
MSG91 CALL SHAPE (WhatsApp send — confirm exact path/fields against current MSG91 docs, this is the expected shape):
  POST https://api.msg91.com/api/v5/whatsapp/whatsapp-outbound-message/bulk/
  Headers: { "authkey": "&lt;msg91 auth key&gt;", "Content-Type": "application/json" }
  Request body:
  {
    "integrated_number": "91XXXXXXXXXX",
    "content_type": "template",
    "payload": {
      "to": "919876543210",
      "type": "template",
      "template": {
        "name": "booking_confirmed",
        "language": { "code": "en", "policy": "deterministic" },
        "components": [
          { "type": "body", "parameters": [
              { "type": "text", "text": "Glow Salon" },
              { "type": "text", "text": "5:30 PM" },
              { "type": "text", "text": "BMP-2026-00891" }
          ]}
        ]
      }
    }
  }
  Expected response 200: { "message": "success", "data": [ { "messageId": "...", "status": "submitted" } ] }
  Failure response: non-200 or a `data[].status` of "failed" with an `errorCode`/`errorMessage`.
WHAT THE INTEGRATION MUST DO:
  1. For each notification_log row with channel='whatsapp', map template_code (e.g. 'OTP_LOGIN') to the correct pre-approved MSG91 WhatsApp template name and parameter order (WhatsApp requires templates to be pre-approved by Meta — cannot send arbitrary freeform text for the first message).
  2. Fill payload.parameters from notification_log.payload JSONB, in the exact order the template expects.
  3. Call MSG91, parse response, update notification_log.status ('sent') and provider_message_id.
  4. On failure (or if MSG91 reports the number has no WhatsApp), do NOT throw — instead mark status='failed' with error_reason, so the OutboxProcessor's retry/fallback logic (or BMP-9's push sender) can pick it up.
  5. OTP-specific: must complete within the 5-minute otp_requests.expires_at window with comfortable margin — add a timeout of a few seconds on the HTTP call itself.
ACCEPTANCE CRITERIA:
  - A real OTP WhatsApp message received on a real test phone number end-to-end.
  - A real booking-confirmed template message received.
  - Failure path (invalid number) correctly falls back without crashing the OutboxProcessor.
  - Auth key loaded from environment/secret store, not hardcoded (grep the repo before merge to confirm no key is committed).
DEPENDS ON: BMP-6 (notification_log table), BMP-7 (OutboxProcessor must exist to drive real send volume, though this can be built/tested with a manual trigger first).
BLOCKS: none downstream, but is the PRIMARY channel — BMP-9's push is explicitly the fallback, so this should not slip.</t>
  </si>
  <si>
    <t xml:space="preserve">WHAT: A short written document defining exactly what result would make the 3 of you STOP or PIVOT after the pilot, and what result means GO. CONTEXT.md 'What to Build Next' item #6 explicitly requires this before customer interviews begin.
WHERE: New file docs/design-documents/BMP_Phase0_Kill_Criteria.md (or .docx to match the other design docs), linked from CONTEXT.md.
WHAT THE DOCUMENT MUST CONTAIN (structure to follow):
  1. Pilot scope: number of salons (recommend 3-5, matching the "3 real pilot salons" already referenced for the availability model), geography (Koramangala/HSR/Indiranagar per locked target market), duration (recommend 4-6 weeks).
  2. Quantitative kill metrics — pick real numbers, e.g.:
     - Minimum bookings/salon/week to continue (below this = calendar-truth or demand problem)
     - Maximum no-show rate tolerated (above this = calendar-truth failure)
     - Minimum average ticket size observed vs. the ₹800 assumption
     - Maximum refund-ticket rate per 100 bookings
  3. Qualitative kill signals: e.g. salon owner refuses to keep calendar updated after week 1, repeated double-bookings despite the system, customers report calendar not matching reality.
  4. GO / PIVOT / KILL decision table: define the exact threshold combination for each outcome.
  5. Sign-off block: three signature lines (Darshan, Shivam, Achyuth) with date.
WHY: Without written-in-advance kill criteria, it's easy to rationalize continuing a pilot that isn't working (sunk cost). This document exists specifically to be checked against cold, after the fact.
ACCEPTANCE CRITERIA:
  - Document contains real numbers, not placeholders like "TBD".
  - Saved in docs/design-documents/ and linked from CONTEXT.md.
  - Ready for founder sign-off (see BMP-21).
DEPENDS ON: none.
BLOCKS: BMP-21 (sign-off), and the start of customer interviews.</t>
  </si>
  <si>
    <t xml:space="preserve">WHAT: A synchronous meeting (in person or call) where all 3 founders read BMP-20's kill criteria document line by line and either approve as-is or amend numbers together in real time — not async comments.
WHERE: Output is a signed/dated addition at the bottom of docs/design-documents/BMP_Phase0_Kill_Criteria.md:
  "Approved by: Darshan (date), Shivam (date), Achyuth (date)"
  Also add a Session Log entry in CONTEXT.md per the file's own "How to Add to This File" convention:
  #### Turn N — Phase 0 kill criteria sign-off
  **Decided:** [any numbers that changed during the meeting]
  **Locked:** Yes, all 3 founders present and agreed.
WHAT TO WALK THROUGH IN THE MEETING:
  1. Each quantitative threshold in BMP-20 (bookings/week, no-show rate, ticket size, refund rate) — does everyone still agree with the number now that it's in front of them concretely?
  2. Each qualitative signal — any founder have veto/concern?
  3. The GO / PIVOT / KILL decision table — walk through 2-3 hypothetical pilot outcomes and confirm all 3 founders would reach the same conclusion from the same data (this catches ambiguous wording before it matters).
WHY: A kill-criteria document only works if it was agreed to BEFORE emotional investment in the pilot's outcome. A single founder editing the doc alone doesn't count — this ticket specifically requires all 3 present.
ACCEPTANCE CRITERIA:
  - All 3 founders' names and dates appear on the sign-off line.
  - No open disagreement left unresolved (if one exists, document it explicitly rather than papering over it).
DEPENDS ON: BMP-20.
BLOCKS: Start of customer interviews / pilot outreach.</t>
  </si>
  <si>
    <t xml:space="preserve">BMP Team Tracker — How to use</t>
  </si>
  <si>
    <t xml:space="preserve">Team: Darshan, Shivam, Achyuth</t>
  </si>
  <si>
    <t xml:space="preserve">REVISED per team feedback: work is now grouped into 3 PHASES, not just difficulty.</t>
  </si>
  <si>
    <t xml:space="preserve">Phase 1: CRUD &amp; Basic Ops — plain create/read/update/list REST endpoints per service, on top of</t>
  </si>
  <si>
    <t xml:space="preserve">  each module's own DB tables. No third-party APIs, no cross-module event calls, no auth yet.</t>
  </si>
  <si>
    <t xml:space="preserve">  This is where to start. 21 of 31 tasks are here.</t>
  </si>
  <si>
    <t xml:space="preserve">Phase 2: Availability Logic — the hard intra-service scheduling algorithm (bmp-salon only, no</t>
  </si>
  <si>
    <t xml:space="preserve">  third parties). Gated on a founder-approved paper design (BMP-11/BMP-12) before any code.</t>
  </si>
  <si>
    <t xml:space="preserve">Phase 3: Inter-Service, Auth &amp; Integrations — OTP login, JWT/role-based authorization applied</t>
  </si>
  <si>
    <t xml:space="preserve">  across every module, the outbox event relay between modules, and real Razorpay/MSG91/FCM calls.</t>
  </si>
  <si>
    <t xml:space="preserve">Ongoing / Parallel: business tasks (kill criteria) that don't block or depend on any phase.</t>
  </si>
  <si>
    <t xml:space="preserve">Within Phase 1, order is still easiest-first: schema-only design tasks, then the admin_schema</t>
  </si>
  <si>
    <t xml:space="preserve">migration, then one CRUD ticket per service (admin/notification first since they're small,</t>
  </si>
  <si>
    <t xml:space="preserve">booking last since it's the most complex — multiple tables plus the existing state machine).</t>
  </si>
  <si>
    <t xml:space="preserve">IMPORTANT FINDING baked into this version: the repo's own V001 migration file has a trailing</t>
  </si>
  <si>
    <t xml:space="preserve">comment listing the real planned migration numbers — V002 user_schema, V003 salon_schema</t>
  </si>
  <si>
    <t xml:space="preserve">(static), V004 salon_schema (availability, blocked), V005 booking_schema, V006 payment_schema,</t>
  </si>
  <si>
    <t xml:space="preserve">V007 review+rewards_schema, V008 admin_schema. NONE of these are written yet except V001</t>
  </si>
  <si>
    <t xml:space="preserve">(outbox table only) — so every Phase 1 CRUD ticket includes writing that module's migration</t>
  </si>
  <si>
    <t xml:space="preserve">first, using the exact columns already locked in CONTEXT.md. Also flagged: V006's comment names</t>
  </si>
  <si>
    <t xml:space="preserve">(payment/payout_record/payout_queue/bank_account) don't match CONTEXT.md's newer, more detailed</t>
  </si>
  <si>
    <t xml:space="preserve">9-table payment schema (payment_order/webhook_event/etc) — worth reconciling with the team,</t>
  </si>
  <si>
    <t xml:space="preserve">recommend following CONTEXT.md since it's the more recent, explicitly-locked version.</t>
  </si>
  <si>
    <t xml:space="preserve">Every task's one-line description on 'Tasks' is backed by a full spec on 'Specs' — exact table</t>
  </si>
  <si>
    <t xml:space="preserve">columns/types, or exact HTTP method + endpoint + request/response JSON with data types, plus</t>
  </si>
  <si>
    <t xml:space="preserve">dependencies and acceptance criteria. Match the Task ID between the two sheets.</t>
  </si>
  <si>
    <t xml:space="preserve">1. Track status in 'Tasks': Backlog -&gt; To Do -&gt; In Progress -&gt; In Review -&gt; Done.</t>
  </si>
  <si>
    <t xml:space="preserve">2. Status/Priority/Assignee/Type/Difficulty have dropdowns.</t>
  </si>
  <si>
    <t xml:space="preserve">3. Check 'Dashboard' for live counts by phase and assignee.</t>
  </si>
  <si>
    <t xml:space="preserve">4. Tell me any time to add tasks, reassign, change status/priority, expand a spec, or give a</t>
  </si>
  <si>
    <t xml:space="preserve">   standup summary.</t>
  </si>
</sst>
</file>

<file path=xl/styles.xml><?xml version="1.0" encoding="utf-8"?>
<styleSheet xmlns="http://schemas.openxmlformats.org/spreadsheetml/2006/main">
  <numFmts count="2">
    <numFmt numFmtId="164" formatCode="General"/>
    <numFmt numFmtId="165" formatCode="yyyy\-mm\-dd"/>
  </numFmts>
  <fonts count="15">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name val="Arial"/>
      <family val="0"/>
      <charset val="1"/>
    </font>
    <font>
      <b val="true"/>
      <sz val="12"/>
      <name val="Arial"/>
      <family val="0"/>
      <charset val="1"/>
    </font>
    <font>
      <b val="true"/>
      <sz val="11"/>
      <color rgb="FFFFFFFF"/>
      <name val="Arial"/>
      <family val="0"/>
      <charset val="1"/>
    </font>
    <font>
      <sz val="9"/>
      <name val="Arial"/>
      <family val="0"/>
      <charset val="1"/>
    </font>
    <font>
      <sz val="10"/>
      <name val="Arial"/>
      <family val="0"/>
      <charset val="1"/>
    </font>
    <font>
      <b val="true"/>
      <sz val="20"/>
      <color rgb="FF1F4E78"/>
      <name val="Arial"/>
      <family val="0"/>
      <charset val="1"/>
    </font>
    <font>
      <b val="true"/>
      <sz val="10"/>
      <name val="Arial"/>
      <family val="0"/>
      <charset val="1"/>
    </font>
    <font>
      <i val="true"/>
      <sz val="9"/>
      <name val="Arial"/>
      <family val="0"/>
      <charset val="1"/>
    </font>
    <font>
      <b val="true"/>
      <sz val="14"/>
      <color rgb="FF1F4E78"/>
      <name val="Arial"/>
      <family val="0"/>
      <charset val="1"/>
    </font>
    <font>
      <sz val="11"/>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E8F5E9"/>
        <bgColor rgb="FFFFF3E0"/>
      </patternFill>
    </fill>
    <fill>
      <patternFill patternType="solid">
        <fgColor rgb="FFFFF3E0"/>
        <bgColor rgb="FFFCE4E4"/>
      </patternFill>
    </fill>
    <fill>
      <patternFill patternType="solid">
        <fgColor rgb="FFFCE4E4"/>
        <bgColor rgb="FFFFF3E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5" fontId="9" fillId="5"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3E0"/>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8"/>
    <col collapsed="false" customWidth="true" hidden="false" outlineLevel="0" max="4" min="4" style="0" width="4"/>
    <col collapsed="false" customWidth="true" hidden="false" outlineLevel="0" max="5" min="5" style="0" width="16"/>
    <col collapsed="false" customWidth="true" hidden="false" outlineLevel="0" max="7" min="6" style="0" width="8"/>
  </cols>
  <sheetData>
    <row r="1" customFormat="false" ht="19.7" hidden="false" customHeight="false" outlineLevel="0" collapsed="false">
      <c r="A1" s="1" t="s">
        <v>0</v>
      </c>
      <c r="B1" s="1"/>
      <c r="C1" s="1"/>
      <c r="D1" s="1"/>
    </row>
    <row r="2" customFormat="false" ht="15" hidden="false" customHeight="false" outlineLevel="0" collapsed="false">
      <c r="A2" s="2" t="s">
        <v>1</v>
      </c>
      <c r="B2" s="3" t="n">
        <v>46217</v>
      </c>
    </row>
    <row r="4" customFormat="false" ht="15" hidden="false" customHeight="false" outlineLevel="0" collapsed="false">
      <c r="A4" s="4" t="s">
        <v>2</v>
      </c>
      <c r="E4" s="4" t="s">
        <v>3</v>
      </c>
    </row>
    <row r="5" customFormat="false" ht="15" hidden="false" customHeight="false" outlineLevel="0" collapsed="false">
      <c r="A5" s="5" t="s">
        <v>4</v>
      </c>
      <c r="B5" s="5" t="s">
        <v>5</v>
      </c>
      <c r="C5" s="5" t="s">
        <v>6</v>
      </c>
      <c r="E5" s="5" t="s">
        <v>7</v>
      </c>
      <c r="F5" s="5" t="s">
        <v>5</v>
      </c>
      <c r="G5" s="5" t="s">
        <v>6</v>
      </c>
    </row>
    <row r="6" customFormat="false" ht="15" hidden="false" customHeight="false" outlineLevel="0" collapsed="false">
      <c r="A6" s="6" t="s">
        <v>8</v>
      </c>
      <c r="B6" s="7" t="n">
        <f aca="false">COUNTIFS(Tasks!$B$2:$B$232,A6,Tasks!$J$2:$J$232,"&lt;&gt;Done")</f>
        <v>15</v>
      </c>
      <c r="C6" s="7" t="n">
        <f aca="false">COUNTIFS(Tasks!$B$2:$B$232,A6,Tasks!$J$2:$J$232,"Done")</f>
        <v>0</v>
      </c>
      <c r="E6" s="7" t="s">
        <v>9</v>
      </c>
      <c r="F6" s="7" t="n">
        <f aca="false">COUNTIFS(Tasks!$I$2:$I$232,E6,Tasks!$J$2:$J$232,"&lt;&gt;Done")</f>
        <v>9</v>
      </c>
      <c r="G6" s="7" t="n">
        <f aca="false">COUNTIFS(Tasks!$I$2:$I$232,E6,Tasks!$J$2:$J$232,"Done")</f>
        <v>0</v>
      </c>
    </row>
    <row r="7" customFormat="false" ht="15" hidden="false" customHeight="false" outlineLevel="0" collapsed="false">
      <c r="A7" s="6" t="s">
        <v>10</v>
      </c>
      <c r="B7" s="7" t="n">
        <f aca="false">COUNTIFS(Tasks!$B$2:$B$232,A7,Tasks!$J$2:$J$232,"&lt;&gt;Done")</f>
        <v>8</v>
      </c>
      <c r="C7" s="7" t="n">
        <f aca="false">COUNTIFS(Tasks!$B$2:$B$232,A7,Tasks!$J$2:$J$232,"Done")</f>
        <v>0</v>
      </c>
      <c r="E7" s="7" t="s">
        <v>11</v>
      </c>
      <c r="F7" s="7" t="n">
        <f aca="false">COUNTIFS(Tasks!$I$2:$I$232,E7,Tasks!$J$2:$J$232,"&lt;&gt;Done")</f>
        <v>9</v>
      </c>
      <c r="G7" s="7" t="n">
        <f aca="false">COUNTIFS(Tasks!$I$2:$I$232,E7,Tasks!$J$2:$J$232,"Done")</f>
        <v>0</v>
      </c>
    </row>
    <row r="8" customFormat="false" ht="15" hidden="false" customHeight="false" outlineLevel="0" collapsed="false">
      <c r="A8" s="6" t="s">
        <v>12</v>
      </c>
      <c r="B8" s="7" t="n">
        <f aca="false">COUNTIFS(Tasks!$B$2:$B$232,A8,Tasks!$J$2:$J$232,"&lt;&gt;Done")</f>
        <v>6</v>
      </c>
      <c r="C8" s="7" t="n">
        <f aca="false">COUNTIFS(Tasks!$B$2:$B$232,A8,Tasks!$J$2:$J$232,"Done")</f>
        <v>0</v>
      </c>
      <c r="E8" s="7" t="s">
        <v>13</v>
      </c>
      <c r="F8" s="7" t="n">
        <f aca="false">COUNTIFS(Tasks!$I$2:$I$232,E8,Tasks!$J$2:$J$232,"&lt;&gt;Done")</f>
        <v>11</v>
      </c>
      <c r="G8" s="7" t="n">
        <f aca="false">COUNTIFS(Tasks!$I$2:$I$232,E8,Tasks!$J$2:$J$232,"Done")</f>
        <v>0</v>
      </c>
    </row>
    <row r="9" customFormat="false" ht="15" hidden="false" customHeight="false" outlineLevel="0" collapsed="false">
      <c r="A9" s="6" t="s">
        <v>14</v>
      </c>
      <c r="B9" s="7" t="n">
        <f aca="false">COUNTIFS(Tasks!$B$2:$B$232,A9,Tasks!$J$2:$J$232,"&lt;&gt;Done")</f>
        <v>2</v>
      </c>
      <c r="C9" s="7" t="n">
        <f aca="false">COUNTIFS(Tasks!$B$2:$B$232,A9,Tasks!$J$2:$J$232,"Done")</f>
        <v>0</v>
      </c>
      <c r="E9" s="7" t="s">
        <v>15</v>
      </c>
      <c r="F9" s="7" t="n">
        <f aca="false">COUNTIFS(Tasks!$I$2:$I$232,E9,Tasks!$J$2:$J$232,"&lt;&gt;Done")</f>
        <v>2</v>
      </c>
      <c r="G9" s="7" t="n">
        <f aca="false">COUNTIFS(Tasks!$I$2:$I$232,E9,Tasks!$J$2:$J$232,"Done")</f>
        <v>0</v>
      </c>
    </row>
    <row r="10" customFormat="false" ht="15" hidden="false" customHeight="false" outlineLevel="0" collapsed="false">
      <c r="E10" s="7" t="s">
        <v>16</v>
      </c>
      <c r="F10" s="7" t="n">
        <f aca="false">COUNTIFS(Tasks!$I$2:$I$232,E10,Tasks!$J$2:$J$232,"&lt;&gt;Done")</f>
        <v>0</v>
      </c>
      <c r="G10" s="7" t="n">
        <f aca="false">COUNTIFS(Tasks!$I$2:$I$232,E10,Tasks!$J$2:$J$232,"Done")</f>
        <v>0</v>
      </c>
    </row>
    <row r="12" customFormat="false" ht="15" hidden="false" customHeight="false" outlineLevel="0" collapsed="false">
      <c r="A12" s="4" t="s">
        <v>17</v>
      </c>
    </row>
    <row r="13" customFormat="false" ht="24.45" hidden="false" customHeight="false" outlineLevel="0" collapsed="false">
      <c r="A13" s="8" t="n">
        <f aca="false">COUNTIFS(Tasks!$B$2:$B$232,"Phase 1: CRUD &amp; Basic Ops",Tasks!$J$2:$J$232,"&lt;&gt;Done")</f>
        <v>15</v>
      </c>
    </row>
    <row r="15" customFormat="false" ht="15" hidden="false" customHeight="false" outlineLevel="0" collapsed="false">
      <c r="A15" s="4" t="s">
        <v>18</v>
      </c>
    </row>
    <row r="16" customFormat="false" ht="24.45" hidden="false" customHeight="false" outlineLevel="0" collapsed="false">
      <c r="A16" s="8" t="n">
        <f aca="false">COUNTIF(Tasks!$C$2:$C$232,"BMP-*")</f>
        <v>31</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9"/>
    <col collapsed="false" customWidth="true" hidden="false" outlineLevel="0" max="4" min="4" style="0" width="28"/>
    <col collapsed="false" customWidth="true" hidden="false" outlineLevel="0" max="5" min="5" style="0" width="42"/>
    <col collapsed="false" customWidth="true" hidden="false" outlineLevel="0" max="6" min="6" style="0" width="10"/>
    <col collapsed="false" customWidth="true" hidden="false" outlineLevel="0" max="7" min="7" style="0" width="11"/>
    <col collapsed="false" customWidth="true" hidden="false" outlineLevel="0" max="8" min="8" style="0" width="10"/>
    <col collapsed="false" customWidth="true" hidden="false" outlineLevel="0" max="9" min="9" style="0" width="12"/>
    <col collapsed="false" customWidth="true" hidden="false" outlineLevel="0" max="11" min="10" style="0" width="13"/>
    <col collapsed="false" customWidth="true" hidden="false" outlineLevel="0" max="12" min="12" style="0" width="12"/>
    <col collapsed="false" customWidth="true" hidden="false" outlineLevel="0" max="13" min="13" style="0" width="15"/>
    <col collapsed="false" customWidth="true" hidden="false" outlineLevel="0" max="14" min="14" style="0" width="20"/>
  </cols>
  <sheetData>
    <row r="1" customFormat="false" ht="26.85" hidden="false" customHeight="false" outlineLevel="0" collapsed="false">
      <c r="A1" s="9" t="s">
        <v>19</v>
      </c>
      <c r="B1" s="9" t="s">
        <v>4</v>
      </c>
      <c r="C1" s="9" t="s">
        <v>20</v>
      </c>
      <c r="D1" s="9" t="s">
        <v>21</v>
      </c>
      <c r="E1" s="9" t="s">
        <v>22</v>
      </c>
      <c r="F1" s="9" t="s">
        <v>23</v>
      </c>
      <c r="G1" s="9" t="s">
        <v>24</v>
      </c>
      <c r="H1" s="9" t="s">
        <v>25</v>
      </c>
      <c r="I1" s="9" t="s">
        <v>7</v>
      </c>
      <c r="J1" s="9" t="s">
        <v>26</v>
      </c>
      <c r="K1" s="9" t="s">
        <v>27</v>
      </c>
      <c r="L1" s="9" t="s">
        <v>28</v>
      </c>
      <c r="M1" s="9" t="s">
        <v>29</v>
      </c>
      <c r="N1" s="9" t="s">
        <v>30</v>
      </c>
    </row>
    <row r="2" customFormat="false" ht="35.05" hidden="false" customHeight="false" outlineLevel="0" collapsed="false">
      <c r="A2" s="10" t="n">
        <v>1</v>
      </c>
      <c r="B2" s="10" t="s">
        <v>8</v>
      </c>
      <c r="C2" s="10" t="s">
        <v>31</v>
      </c>
      <c r="D2" s="11" t="s">
        <v>32</v>
      </c>
      <c r="E2" s="11" t="s">
        <v>33</v>
      </c>
      <c r="F2" s="10" t="s">
        <v>34</v>
      </c>
      <c r="G2" s="10" t="s">
        <v>35</v>
      </c>
      <c r="H2" s="10" t="s">
        <v>36</v>
      </c>
      <c r="I2" s="10" t="s">
        <v>13</v>
      </c>
      <c r="J2" s="10" t="s">
        <v>37</v>
      </c>
      <c r="K2" s="12" t="n">
        <v>46217</v>
      </c>
      <c r="L2" s="12" t="n">
        <v>46218</v>
      </c>
      <c r="M2" s="12"/>
      <c r="N2" s="11" t="s">
        <v>38</v>
      </c>
    </row>
    <row r="3" customFormat="false" ht="35.05" hidden="false" customHeight="false" outlineLevel="0" collapsed="false">
      <c r="A3" s="10" t="n">
        <v>2</v>
      </c>
      <c r="B3" s="10" t="s">
        <v>8</v>
      </c>
      <c r="C3" s="10" t="s">
        <v>39</v>
      </c>
      <c r="D3" s="11" t="s">
        <v>40</v>
      </c>
      <c r="E3" s="11" t="s">
        <v>41</v>
      </c>
      <c r="F3" s="10" t="s">
        <v>34</v>
      </c>
      <c r="G3" s="10" t="s">
        <v>35</v>
      </c>
      <c r="H3" s="10" t="s">
        <v>36</v>
      </c>
      <c r="I3" s="10" t="s">
        <v>9</v>
      </c>
      <c r="J3" s="10" t="s">
        <v>37</v>
      </c>
      <c r="K3" s="12" t="n">
        <v>46217</v>
      </c>
      <c r="L3" s="12" t="n">
        <v>46218</v>
      </c>
      <c r="M3" s="12"/>
      <c r="N3" s="11" t="s">
        <v>42</v>
      </c>
    </row>
    <row r="4" customFormat="false" ht="35.05" hidden="false" customHeight="false" outlineLevel="0" collapsed="false">
      <c r="A4" s="10" t="n">
        <v>3</v>
      </c>
      <c r="B4" s="10" t="s">
        <v>8</v>
      </c>
      <c r="C4" s="10" t="s">
        <v>43</v>
      </c>
      <c r="D4" s="11" t="s">
        <v>44</v>
      </c>
      <c r="E4" s="11" t="s">
        <v>45</v>
      </c>
      <c r="F4" s="10" t="s">
        <v>34</v>
      </c>
      <c r="G4" s="10" t="s">
        <v>35</v>
      </c>
      <c r="H4" s="10" t="s">
        <v>36</v>
      </c>
      <c r="I4" s="10" t="s">
        <v>13</v>
      </c>
      <c r="J4" s="10" t="s">
        <v>37</v>
      </c>
      <c r="K4" s="12" t="n">
        <v>46217</v>
      </c>
      <c r="L4" s="12" t="n">
        <v>46219</v>
      </c>
      <c r="M4" s="12"/>
      <c r="N4" s="11" t="s">
        <v>46</v>
      </c>
    </row>
    <row r="5" customFormat="false" ht="35.05" hidden="false" customHeight="false" outlineLevel="0" collapsed="false">
      <c r="A5" s="10" t="n">
        <v>4</v>
      </c>
      <c r="B5" s="10" t="s">
        <v>8</v>
      </c>
      <c r="C5" s="10" t="s">
        <v>47</v>
      </c>
      <c r="D5" s="11" t="s">
        <v>48</v>
      </c>
      <c r="E5" s="11" t="s">
        <v>49</v>
      </c>
      <c r="F5" s="10" t="s">
        <v>34</v>
      </c>
      <c r="G5" s="10" t="s">
        <v>35</v>
      </c>
      <c r="H5" s="10" t="s">
        <v>36</v>
      </c>
      <c r="I5" s="10" t="s">
        <v>11</v>
      </c>
      <c r="J5" s="10" t="s">
        <v>37</v>
      </c>
      <c r="K5" s="12" t="n">
        <v>46217</v>
      </c>
      <c r="L5" s="12" t="n">
        <v>46219</v>
      </c>
      <c r="M5" s="12"/>
      <c r="N5" s="11" t="s">
        <v>50</v>
      </c>
    </row>
    <row r="6" customFormat="false" ht="35.05" hidden="false" customHeight="false" outlineLevel="0" collapsed="false">
      <c r="A6" s="10" t="n">
        <v>5</v>
      </c>
      <c r="B6" s="10" t="s">
        <v>8</v>
      </c>
      <c r="C6" s="10" t="s">
        <v>51</v>
      </c>
      <c r="D6" s="11" t="s">
        <v>52</v>
      </c>
      <c r="E6" s="11" t="s">
        <v>53</v>
      </c>
      <c r="F6" s="10" t="s">
        <v>34</v>
      </c>
      <c r="G6" s="10" t="s">
        <v>54</v>
      </c>
      <c r="H6" s="10" t="s">
        <v>55</v>
      </c>
      <c r="I6" s="10" t="s">
        <v>11</v>
      </c>
      <c r="J6" s="10" t="s">
        <v>37</v>
      </c>
      <c r="K6" s="12" t="n">
        <v>46217</v>
      </c>
      <c r="L6" s="12" t="n">
        <v>46221</v>
      </c>
      <c r="M6" s="12"/>
      <c r="N6" s="11" t="s">
        <v>56</v>
      </c>
    </row>
    <row r="7" customFormat="false" ht="35.05" hidden="false" customHeight="false" outlineLevel="0" collapsed="false">
      <c r="A7" s="13" t="n">
        <v>6</v>
      </c>
      <c r="B7" s="13" t="s">
        <v>8</v>
      </c>
      <c r="C7" s="13" t="s">
        <v>57</v>
      </c>
      <c r="D7" s="14" t="s">
        <v>58</v>
      </c>
      <c r="E7" s="14" t="s">
        <v>59</v>
      </c>
      <c r="F7" s="13" t="s">
        <v>60</v>
      </c>
      <c r="G7" s="13" t="s">
        <v>54</v>
      </c>
      <c r="H7" s="13" t="s">
        <v>36</v>
      </c>
      <c r="I7" s="13" t="s">
        <v>13</v>
      </c>
      <c r="J7" s="13" t="s">
        <v>37</v>
      </c>
      <c r="K7" s="15" t="n">
        <v>46217</v>
      </c>
      <c r="L7" s="15" t="n">
        <v>46220</v>
      </c>
      <c r="M7" s="15"/>
      <c r="N7" s="14" t="s">
        <v>61</v>
      </c>
    </row>
    <row r="8" customFormat="false" ht="35.05" hidden="false" customHeight="false" outlineLevel="0" collapsed="false">
      <c r="A8" s="13" t="n">
        <v>7</v>
      </c>
      <c r="B8" s="13" t="s">
        <v>8</v>
      </c>
      <c r="C8" s="13" t="s">
        <v>62</v>
      </c>
      <c r="D8" s="14" t="s">
        <v>63</v>
      </c>
      <c r="E8" s="14" t="s">
        <v>64</v>
      </c>
      <c r="F8" s="13" t="s">
        <v>60</v>
      </c>
      <c r="G8" s="13" t="s">
        <v>65</v>
      </c>
      <c r="H8" s="13" t="s">
        <v>60</v>
      </c>
      <c r="I8" s="13" t="s">
        <v>11</v>
      </c>
      <c r="J8" s="13" t="s">
        <v>37</v>
      </c>
      <c r="K8" s="15" t="n">
        <v>46217</v>
      </c>
      <c r="L8" s="15" t="n">
        <v>46220</v>
      </c>
      <c r="M8" s="15"/>
      <c r="N8" s="14" t="s">
        <v>66</v>
      </c>
    </row>
    <row r="9" customFormat="false" ht="46.25" hidden="false" customHeight="false" outlineLevel="0" collapsed="false">
      <c r="A9" s="13" t="n">
        <v>8</v>
      </c>
      <c r="B9" s="13" t="s">
        <v>8</v>
      </c>
      <c r="C9" s="13" t="s">
        <v>67</v>
      </c>
      <c r="D9" s="14" t="s">
        <v>68</v>
      </c>
      <c r="E9" s="14" t="s">
        <v>69</v>
      </c>
      <c r="F9" s="13" t="s">
        <v>60</v>
      </c>
      <c r="G9" s="13" t="s">
        <v>54</v>
      </c>
      <c r="H9" s="13" t="s">
        <v>60</v>
      </c>
      <c r="I9" s="13" t="s">
        <v>13</v>
      </c>
      <c r="J9" s="13" t="s">
        <v>37</v>
      </c>
      <c r="K9" s="15" t="n">
        <v>46217</v>
      </c>
      <c r="L9" s="15" t="n">
        <v>46221</v>
      </c>
      <c r="M9" s="15"/>
      <c r="N9" s="14" t="s">
        <v>70</v>
      </c>
    </row>
    <row r="10" customFormat="false" ht="35.05" hidden="false" customHeight="false" outlineLevel="0" collapsed="false">
      <c r="A10" s="13" t="n">
        <v>9</v>
      </c>
      <c r="B10" s="13" t="s">
        <v>8</v>
      </c>
      <c r="C10" s="13" t="s">
        <v>71</v>
      </c>
      <c r="D10" s="14" t="s">
        <v>72</v>
      </c>
      <c r="E10" s="14" t="s">
        <v>73</v>
      </c>
      <c r="F10" s="13" t="s">
        <v>60</v>
      </c>
      <c r="G10" s="13" t="s">
        <v>54</v>
      </c>
      <c r="H10" s="13" t="s">
        <v>36</v>
      </c>
      <c r="I10" s="13" t="s">
        <v>13</v>
      </c>
      <c r="J10" s="13" t="s">
        <v>37</v>
      </c>
      <c r="K10" s="15" t="n">
        <v>46217</v>
      </c>
      <c r="L10" s="15" t="n">
        <v>46222</v>
      </c>
      <c r="M10" s="15"/>
      <c r="N10" s="14" t="s">
        <v>74</v>
      </c>
    </row>
    <row r="11" customFormat="false" ht="35.05" hidden="false" customHeight="false" outlineLevel="0" collapsed="false">
      <c r="A11" s="13" t="n">
        <v>10</v>
      </c>
      <c r="B11" s="13" t="s">
        <v>8</v>
      </c>
      <c r="C11" s="13" t="s">
        <v>75</v>
      </c>
      <c r="D11" s="14" t="s">
        <v>76</v>
      </c>
      <c r="E11" s="14" t="s">
        <v>77</v>
      </c>
      <c r="F11" s="13" t="s">
        <v>60</v>
      </c>
      <c r="G11" s="13" t="s">
        <v>54</v>
      </c>
      <c r="H11" s="13" t="s">
        <v>60</v>
      </c>
      <c r="I11" s="13" t="s">
        <v>9</v>
      </c>
      <c r="J11" s="13" t="s">
        <v>37</v>
      </c>
      <c r="K11" s="15" t="n">
        <v>46217</v>
      </c>
      <c r="L11" s="15" t="n">
        <v>46222</v>
      </c>
      <c r="M11" s="15"/>
      <c r="N11" s="14" t="s">
        <v>78</v>
      </c>
    </row>
    <row r="12" customFormat="false" ht="35.05" hidden="false" customHeight="false" outlineLevel="0" collapsed="false">
      <c r="A12" s="13" t="n">
        <v>11</v>
      </c>
      <c r="B12" s="13" t="s">
        <v>8</v>
      </c>
      <c r="C12" s="13" t="s">
        <v>79</v>
      </c>
      <c r="D12" s="14" t="s">
        <v>80</v>
      </c>
      <c r="E12" s="14" t="s">
        <v>81</v>
      </c>
      <c r="F12" s="13" t="s">
        <v>60</v>
      </c>
      <c r="G12" s="13" t="s">
        <v>54</v>
      </c>
      <c r="H12" s="13" t="s">
        <v>36</v>
      </c>
      <c r="I12" s="13" t="s">
        <v>9</v>
      </c>
      <c r="J12" s="13" t="s">
        <v>37</v>
      </c>
      <c r="K12" s="15" t="n">
        <v>46217</v>
      </c>
      <c r="L12" s="15" t="n">
        <v>46223</v>
      </c>
      <c r="M12" s="15"/>
      <c r="N12" s="14" t="s">
        <v>82</v>
      </c>
    </row>
    <row r="13" customFormat="false" ht="35.05" hidden="false" customHeight="false" outlineLevel="0" collapsed="false">
      <c r="A13" s="13" t="n">
        <v>12</v>
      </c>
      <c r="B13" s="13" t="s">
        <v>8</v>
      </c>
      <c r="C13" s="13" t="s">
        <v>83</v>
      </c>
      <c r="D13" s="14" t="s">
        <v>84</v>
      </c>
      <c r="E13" s="14" t="s">
        <v>85</v>
      </c>
      <c r="F13" s="13" t="s">
        <v>60</v>
      </c>
      <c r="G13" s="13" t="s">
        <v>54</v>
      </c>
      <c r="H13" s="13" t="s">
        <v>60</v>
      </c>
      <c r="I13" s="13" t="s">
        <v>13</v>
      </c>
      <c r="J13" s="13" t="s">
        <v>37</v>
      </c>
      <c r="K13" s="15" t="n">
        <v>46217</v>
      </c>
      <c r="L13" s="15" t="n">
        <v>46223</v>
      </c>
      <c r="M13" s="15"/>
      <c r="N13" s="14" t="s">
        <v>86</v>
      </c>
    </row>
    <row r="14" customFormat="false" ht="35.05" hidden="false" customHeight="false" outlineLevel="0" collapsed="false">
      <c r="A14" s="13" t="n">
        <v>13</v>
      </c>
      <c r="B14" s="13" t="s">
        <v>8</v>
      </c>
      <c r="C14" s="13" t="s">
        <v>87</v>
      </c>
      <c r="D14" s="14" t="s">
        <v>88</v>
      </c>
      <c r="E14" s="14" t="s">
        <v>89</v>
      </c>
      <c r="F14" s="13" t="s">
        <v>60</v>
      </c>
      <c r="G14" s="13" t="s">
        <v>54</v>
      </c>
      <c r="H14" s="13" t="s">
        <v>36</v>
      </c>
      <c r="I14" s="13" t="s">
        <v>13</v>
      </c>
      <c r="J14" s="13" t="s">
        <v>37</v>
      </c>
      <c r="K14" s="15" t="n">
        <v>46217</v>
      </c>
      <c r="L14" s="15" t="n">
        <v>46224</v>
      </c>
      <c r="M14" s="15"/>
      <c r="N14" s="14" t="s">
        <v>90</v>
      </c>
    </row>
    <row r="15" customFormat="false" ht="35.05" hidden="false" customHeight="false" outlineLevel="0" collapsed="false">
      <c r="A15" s="13" t="n">
        <v>14</v>
      </c>
      <c r="B15" s="13" t="s">
        <v>8</v>
      </c>
      <c r="C15" s="13" t="s">
        <v>91</v>
      </c>
      <c r="D15" s="14" t="s">
        <v>92</v>
      </c>
      <c r="E15" s="14" t="s">
        <v>93</v>
      </c>
      <c r="F15" s="13" t="s">
        <v>60</v>
      </c>
      <c r="G15" s="13" t="s">
        <v>54</v>
      </c>
      <c r="H15" s="13" t="s">
        <v>60</v>
      </c>
      <c r="I15" s="13" t="s">
        <v>11</v>
      </c>
      <c r="J15" s="13" t="s">
        <v>37</v>
      </c>
      <c r="K15" s="15" t="n">
        <v>46217</v>
      </c>
      <c r="L15" s="15" t="n">
        <v>46224</v>
      </c>
      <c r="M15" s="15"/>
      <c r="N15" s="14" t="s">
        <v>94</v>
      </c>
    </row>
    <row r="16" customFormat="false" ht="46.25" hidden="false" customHeight="false" outlineLevel="0" collapsed="false">
      <c r="A16" s="16" t="n">
        <v>15</v>
      </c>
      <c r="B16" s="16" t="s">
        <v>8</v>
      </c>
      <c r="C16" s="16" t="s">
        <v>95</v>
      </c>
      <c r="D16" s="17" t="s">
        <v>96</v>
      </c>
      <c r="E16" s="17" t="s">
        <v>97</v>
      </c>
      <c r="F16" s="16" t="s">
        <v>98</v>
      </c>
      <c r="G16" s="16" t="s">
        <v>54</v>
      </c>
      <c r="H16" s="16" t="s">
        <v>36</v>
      </c>
      <c r="I16" s="16" t="s">
        <v>11</v>
      </c>
      <c r="J16" s="16" t="s">
        <v>37</v>
      </c>
      <c r="K16" s="18" t="n">
        <v>46217</v>
      </c>
      <c r="L16" s="18" t="n">
        <v>46225</v>
      </c>
      <c r="M16" s="18"/>
      <c r="N16" s="17" t="s">
        <v>99</v>
      </c>
    </row>
    <row r="17" customFormat="false" ht="35.05" hidden="false" customHeight="false" outlineLevel="0" collapsed="false">
      <c r="A17" s="19" t="n">
        <v>16</v>
      </c>
      <c r="B17" s="19" t="s">
        <v>10</v>
      </c>
      <c r="C17" s="19" t="s">
        <v>100</v>
      </c>
      <c r="D17" s="20" t="s">
        <v>101</v>
      </c>
      <c r="E17" s="20" t="s">
        <v>102</v>
      </c>
      <c r="F17" s="19" t="s">
        <v>34</v>
      </c>
      <c r="G17" s="19" t="s">
        <v>103</v>
      </c>
      <c r="H17" s="19" t="s">
        <v>104</v>
      </c>
      <c r="I17" s="19" t="s">
        <v>9</v>
      </c>
      <c r="J17" s="19" t="s">
        <v>37</v>
      </c>
      <c r="K17" s="21" t="n">
        <v>46217</v>
      </c>
      <c r="L17" s="21" t="n">
        <v>46221</v>
      </c>
      <c r="M17" s="21"/>
      <c r="N17" s="20" t="s">
        <v>105</v>
      </c>
    </row>
    <row r="18" customFormat="false" ht="35.05" hidden="false" customHeight="false" outlineLevel="0" collapsed="false">
      <c r="A18" s="19" t="n">
        <v>17</v>
      </c>
      <c r="B18" s="19" t="s">
        <v>10</v>
      </c>
      <c r="C18" s="19" t="s">
        <v>106</v>
      </c>
      <c r="D18" s="20" t="s">
        <v>107</v>
      </c>
      <c r="E18" s="20" t="s">
        <v>108</v>
      </c>
      <c r="F18" s="19" t="s">
        <v>60</v>
      </c>
      <c r="G18" s="19" t="s">
        <v>35</v>
      </c>
      <c r="H18" s="19" t="s">
        <v>104</v>
      </c>
      <c r="I18" s="19" t="s">
        <v>15</v>
      </c>
      <c r="J18" s="19" t="s">
        <v>37</v>
      </c>
      <c r="K18" s="21" t="n">
        <v>46217</v>
      </c>
      <c r="L18" s="21" t="n">
        <v>46226</v>
      </c>
      <c r="M18" s="21"/>
      <c r="N18" s="20" t="s">
        <v>109</v>
      </c>
    </row>
    <row r="19" customFormat="false" ht="35.05" hidden="false" customHeight="false" outlineLevel="0" collapsed="false">
      <c r="A19" s="13" t="n">
        <v>18</v>
      </c>
      <c r="B19" s="13" t="s">
        <v>10</v>
      </c>
      <c r="C19" s="13" t="s">
        <v>110</v>
      </c>
      <c r="D19" s="14" t="s">
        <v>111</v>
      </c>
      <c r="E19" s="14" t="s">
        <v>112</v>
      </c>
      <c r="F19" s="13" t="s">
        <v>60</v>
      </c>
      <c r="G19" s="13" t="s">
        <v>35</v>
      </c>
      <c r="H19" s="13" t="s">
        <v>60</v>
      </c>
      <c r="I19" s="13" t="s">
        <v>9</v>
      </c>
      <c r="J19" s="13" t="s">
        <v>37</v>
      </c>
      <c r="K19" s="15" t="n">
        <v>46217</v>
      </c>
      <c r="L19" s="15" t="n">
        <v>46227</v>
      </c>
      <c r="M19" s="15"/>
      <c r="N19" s="14" t="s">
        <v>113</v>
      </c>
    </row>
    <row r="20" customFormat="false" ht="35.05" hidden="false" customHeight="false" outlineLevel="0" collapsed="false">
      <c r="A20" s="19" t="n">
        <v>19</v>
      </c>
      <c r="B20" s="19" t="s">
        <v>10</v>
      </c>
      <c r="C20" s="19" t="s">
        <v>114</v>
      </c>
      <c r="D20" s="20" t="s">
        <v>115</v>
      </c>
      <c r="E20" s="20" t="s">
        <v>116</v>
      </c>
      <c r="F20" s="19" t="s">
        <v>60</v>
      </c>
      <c r="G20" s="19" t="s">
        <v>65</v>
      </c>
      <c r="H20" s="19" t="s">
        <v>104</v>
      </c>
      <c r="I20" s="19" t="s">
        <v>9</v>
      </c>
      <c r="J20" s="19" t="s">
        <v>37</v>
      </c>
      <c r="K20" s="21" t="n">
        <v>46217</v>
      </c>
      <c r="L20" s="21" t="n">
        <v>46227</v>
      </c>
      <c r="M20" s="21"/>
      <c r="N20" s="20" t="s">
        <v>117</v>
      </c>
    </row>
    <row r="21" customFormat="false" ht="35.05" hidden="false" customHeight="false" outlineLevel="0" collapsed="false">
      <c r="A21" s="19" t="n">
        <v>20</v>
      </c>
      <c r="B21" s="19" t="s">
        <v>10</v>
      </c>
      <c r="C21" s="19" t="s">
        <v>118</v>
      </c>
      <c r="D21" s="20" t="s">
        <v>119</v>
      </c>
      <c r="E21" s="20" t="s">
        <v>120</v>
      </c>
      <c r="F21" s="19" t="s">
        <v>98</v>
      </c>
      <c r="G21" s="19" t="s">
        <v>54</v>
      </c>
      <c r="H21" s="19" t="s">
        <v>104</v>
      </c>
      <c r="I21" s="19" t="s">
        <v>13</v>
      </c>
      <c r="J21" s="19" t="s">
        <v>37</v>
      </c>
      <c r="K21" s="21" t="n">
        <v>46217</v>
      </c>
      <c r="L21" s="21" t="n">
        <v>46229</v>
      </c>
      <c r="M21" s="21"/>
      <c r="N21" s="20" t="s">
        <v>121</v>
      </c>
    </row>
    <row r="22" customFormat="false" ht="46.25" hidden="false" customHeight="false" outlineLevel="0" collapsed="false">
      <c r="A22" s="19" t="n">
        <v>21</v>
      </c>
      <c r="B22" s="19" t="s">
        <v>10</v>
      </c>
      <c r="C22" s="19" t="s">
        <v>122</v>
      </c>
      <c r="D22" s="20" t="s">
        <v>123</v>
      </c>
      <c r="E22" s="20" t="s">
        <v>124</v>
      </c>
      <c r="F22" s="19" t="s">
        <v>98</v>
      </c>
      <c r="G22" s="19" t="s">
        <v>54</v>
      </c>
      <c r="H22" s="19" t="s">
        <v>104</v>
      </c>
      <c r="I22" s="19" t="s">
        <v>11</v>
      </c>
      <c r="J22" s="19" t="s">
        <v>37</v>
      </c>
      <c r="K22" s="21" t="n">
        <v>46217</v>
      </c>
      <c r="L22" s="21" t="n">
        <v>46231</v>
      </c>
      <c r="M22" s="21"/>
      <c r="N22" s="20" t="s">
        <v>125</v>
      </c>
    </row>
    <row r="23" customFormat="false" ht="35.05" hidden="false" customHeight="false" outlineLevel="0" collapsed="false">
      <c r="A23" s="16" t="n">
        <v>22</v>
      </c>
      <c r="B23" s="16" t="s">
        <v>10</v>
      </c>
      <c r="C23" s="16" t="s">
        <v>126</v>
      </c>
      <c r="D23" s="17" t="s">
        <v>127</v>
      </c>
      <c r="E23" s="17" t="s">
        <v>128</v>
      </c>
      <c r="F23" s="16" t="s">
        <v>98</v>
      </c>
      <c r="G23" s="16" t="s">
        <v>54</v>
      </c>
      <c r="H23" s="16" t="s">
        <v>36</v>
      </c>
      <c r="I23" s="16" t="s">
        <v>13</v>
      </c>
      <c r="J23" s="16" t="s">
        <v>37</v>
      </c>
      <c r="K23" s="18" t="n">
        <v>46217</v>
      </c>
      <c r="L23" s="18" t="n">
        <v>46232</v>
      </c>
      <c r="M23" s="18"/>
      <c r="N23" s="17" t="s">
        <v>129</v>
      </c>
    </row>
    <row r="24" customFormat="false" ht="35.05" hidden="false" customHeight="false" outlineLevel="0" collapsed="false">
      <c r="A24" s="16" t="n">
        <v>23</v>
      </c>
      <c r="B24" s="16" t="s">
        <v>10</v>
      </c>
      <c r="C24" s="16" t="s">
        <v>130</v>
      </c>
      <c r="D24" s="17" t="s">
        <v>131</v>
      </c>
      <c r="E24" s="17" t="s">
        <v>132</v>
      </c>
      <c r="F24" s="16" t="s">
        <v>98</v>
      </c>
      <c r="G24" s="16" t="s">
        <v>54</v>
      </c>
      <c r="H24" s="16" t="s">
        <v>36</v>
      </c>
      <c r="I24" s="16" t="s">
        <v>11</v>
      </c>
      <c r="J24" s="16" t="s">
        <v>37</v>
      </c>
      <c r="K24" s="18" t="n">
        <v>46217</v>
      </c>
      <c r="L24" s="18" t="n">
        <v>46232</v>
      </c>
      <c r="M24" s="18"/>
      <c r="N24" s="17" t="s">
        <v>133</v>
      </c>
    </row>
    <row r="25" customFormat="false" ht="35.05" hidden="false" customHeight="false" outlineLevel="0" collapsed="false">
      <c r="A25" s="10" t="n">
        <v>24</v>
      </c>
      <c r="B25" s="10" t="s">
        <v>12</v>
      </c>
      <c r="C25" s="10" t="s">
        <v>134</v>
      </c>
      <c r="D25" s="11" t="s">
        <v>135</v>
      </c>
      <c r="E25" s="11" t="s">
        <v>136</v>
      </c>
      <c r="F25" s="10" t="s">
        <v>34</v>
      </c>
      <c r="G25" s="10" t="s">
        <v>65</v>
      </c>
      <c r="H25" s="10" t="s">
        <v>36</v>
      </c>
      <c r="I25" s="10" t="s">
        <v>9</v>
      </c>
      <c r="J25" s="10" t="s">
        <v>37</v>
      </c>
      <c r="K25" s="12" t="n">
        <v>46217</v>
      </c>
      <c r="L25" s="12" t="n">
        <v>46220</v>
      </c>
      <c r="M25" s="12"/>
      <c r="N25" s="11" t="s">
        <v>137</v>
      </c>
    </row>
    <row r="26" customFormat="false" ht="23.85" hidden="false" customHeight="false" outlineLevel="0" collapsed="false">
      <c r="A26" s="13" t="n">
        <v>25</v>
      </c>
      <c r="B26" s="13" t="s">
        <v>12</v>
      </c>
      <c r="C26" s="13" t="s">
        <v>138</v>
      </c>
      <c r="D26" s="14" t="s">
        <v>139</v>
      </c>
      <c r="E26" s="14" t="s">
        <v>140</v>
      </c>
      <c r="F26" s="13" t="s">
        <v>60</v>
      </c>
      <c r="G26" s="13" t="s">
        <v>54</v>
      </c>
      <c r="H26" s="13" t="s">
        <v>60</v>
      </c>
      <c r="I26" s="13" t="s">
        <v>13</v>
      </c>
      <c r="J26" s="13" t="s">
        <v>37</v>
      </c>
      <c r="K26" s="15" t="n">
        <v>46217</v>
      </c>
      <c r="L26" s="15" t="n">
        <v>46238</v>
      </c>
      <c r="M26" s="15"/>
      <c r="N26" s="14" t="s">
        <v>141</v>
      </c>
    </row>
    <row r="27" customFormat="false" ht="46.25" hidden="false" customHeight="false" outlineLevel="0" collapsed="false">
      <c r="A27" s="16" t="n">
        <v>26</v>
      </c>
      <c r="B27" s="16" t="s">
        <v>12</v>
      </c>
      <c r="C27" s="16" t="s">
        <v>142</v>
      </c>
      <c r="D27" s="17" t="s">
        <v>143</v>
      </c>
      <c r="E27" s="17" t="s">
        <v>144</v>
      </c>
      <c r="F27" s="16" t="s">
        <v>98</v>
      </c>
      <c r="G27" s="16" t="s">
        <v>54</v>
      </c>
      <c r="H27" s="16" t="s">
        <v>36</v>
      </c>
      <c r="I27" s="16" t="s">
        <v>13</v>
      </c>
      <c r="J27" s="16" t="s">
        <v>37</v>
      </c>
      <c r="K27" s="18" t="n">
        <v>46217</v>
      </c>
      <c r="L27" s="18" t="n">
        <v>46234</v>
      </c>
      <c r="M27" s="18"/>
      <c r="N27" s="17" t="s">
        <v>145</v>
      </c>
    </row>
    <row r="28" customFormat="false" ht="35.05" hidden="false" customHeight="false" outlineLevel="0" collapsed="false">
      <c r="A28" s="16" t="n">
        <v>27</v>
      </c>
      <c r="B28" s="16" t="s">
        <v>12</v>
      </c>
      <c r="C28" s="16" t="s">
        <v>146</v>
      </c>
      <c r="D28" s="17" t="s">
        <v>147</v>
      </c>
      <c r="E28" s="17" t="s">
        <v>148</v>
      </c>
      <c r="F28" s="16" t="s">
        <v>98</v>
      </c>
      <c r="G28" s="16" t="s">
        <v>54</v>
      </c>
      <c r="H28" s="16" t="s">
        <v>36</v>
      </c>
      <c r="I28" s="16" t="s">
        <v>9</v>
      </c>
      <c r="J28" s="16" t="s">
        <v>37</v>
      </c>
      <c r="K28" s="18" t="n">
        <v>46217</v>
      </c>
      <c r="L28" s="18" t="n">
        <v>46235</v>
      </c>
      <c r="M28" s="18"/>
      <c r="N28" s="17" t="s">
        <v>149</v>
      </c>
    </row>
    <row r="29" customFormat="false" ht="46.25" hidden="false" customHeight="false" outlineLevel="0" collapsed="false">
      <c r="A29" s="16" t="n">
        <v>28</v>
      </c>
      <c r="B29" s="16" t="s">
        <v>12</v>
      </c>
      <c r="C29" s="16" t="s">
        <v>150</v>
      </c>
      <c r="D29" s="17" t="s">
        <v>151</v>
      </c>
      <c r="E29" s="17" t="s">
        <v>152</v>
      </c>
      <c r="F29" s="16" t="s">
        <v>98</v>
      </c>
      <c r="G29" s="16" t="s">
        <v>54</v>
      </c>
      <c r="H29" s="16" t="s">
        <v>36</v>
      </c>
      <c r="I29" s="16" t="s">
        <v>11</v>
      </c>
      <c r="J29" s="16" t="s">
        <v>37</v>
      </c>
      <c r="K29" s="18" t="n">
        <v>46217</v>
      </c>
      <c r="L29" s="18" t="n">
        <v>46237</v>
      </c>
      <c r="M29" s="18"/>
      <c r="N29" s="17" t="s">
        <v>153</v>
      </c>
    </row>
    <row r="30" customFormat="false" ht="35.05" hidden="false" customHeight="false" outlineLevel="0" collapsed="false">
      <c r="A30" s="16" t="n">
        <v>29</v>
      </c>
      <c r="B30" s="16" t="s">
        <v>12</v>
      </c>
      <c r="C30" s="16" t="s">
        <v>154</v>
      </c>
      <c r="D30" s="17" t="s">
        <v>155</v>
      </c>
      <c r="E30" s="17" t="s">
        <v>156</v>
      </c>
      <c r="F30" s="16" t="s">
        <v>98</v>
      </c>
      <c r="G30" s="16" t="s">
        <v>54</v>
      </c>
      <c r="H30" s="16" t="s">
        <v>60</v>
      </c>
      <c r="I30" s="16" t="s">
        <v>11</v>
      </c>
      <c r="J30" s="16" t="s">
        <v>37</v>
      </c>
      <c r="K30" s="18" t="n">
        <v>46217</v>
      </c>
      <c r="L30" s="18" t="n">
        <v>46238</v>
      </c>
      <c r="M30" s="18"/>
      <c r="N30" s="17" t="s">
        <v>157</v>
      </c>
    </row>
    <row r="31" customFormat="false" ht="23.85" hidden="false" customHeight="false" outlineLevel="0" collapsed="false">
      <c r="A31" s="10" t="n">
        <v>30</v>
      </c>
      <c r="B31" s="10" t="s">
        <v>14</v>
      </c>
      <c r="C31" s="10" t="s">
        <v>158</v>
      </c>
      <c r="D31" s="11" t="s">
        <v>159</v>
      </c>
      <c r="E31" s="11" t="s">
        <v>160</v>
      </c>
      <c r="F31" s="10" t="s">
        <v>34</v>
      </c>
      <c r="G31" s="10" t="s">
        <v>35</v>
      </c>
      <c r="H31" s="10" t="s">
        <v>60</v>
      </c>
      <c r="I31" s="10" t="s">
        <v>9</v>
      </c>
      <c r="J31" s="10" t="s">
        <v>37</v>
      </c>
      <c r="K31" s="12" t="n">
        <v>46217</v>
      </c>
      <c r="L31" s="12" t="n">
        <v>46219</v>
      </c>
      <c r="M31" s="12"/>
      <c r="N31" s="11" t="s">
        <v>161</v>
      </c>
    </row>
    <row r="32" customFormat="false" ht="35.05" hidden="false" customHeight="false" outlineLevel="0" collapsed="false">
      <c r="A32" s="13" t="n">
        <v>31</v>
      </c>
      <c r="B32" s="13" t="s">
        <v>14</v>
      </c>
      <c r="C32" s="13" t="s">
        <v>162</v>
      </c>
      <c r="D32" s="14" t="s">
        <v>163</v>
      </c>
      <c r="E32" s="14" t="s">
        <v>164</v>
      </c>
      <c r="F32" s="13" t="s">
        <v>60</v>
      </c>
      <c r="G32" s="13" t="s">
        <v>65</v>
      </c>
      <c r="H32" s="13" t="s">
        <v>36</v>
      </c>
      <c r="I32" s="13" t="s">
        <v>15</v>
      </c>
      <c r="J32" s="13" t="s">
        <v>37</v>
      </c>
      <c r="K32" s="15" t="n">
        <v>46217</v>
      </c>
      <c r="L32" s="15" t="n">
        <v>46221</v>
      </c>
      <c r="M32" s="15"/>
      <c r="N32" s="14" t="s">
        <v>165</v>
      </c>
    </row>
    <row r="33" customFormat="false" ht="15" hidden="false" customHeight="false" outlineLevel="0" collapsed="false">
      <c r="A33" s="22"/>
      <c r="B33" s="22"/>
      <c r="C33" s="22"/>
      <c r="D33" s="22"/>
      <c r="E33" s="22"/>
      <c r="F33" s="22"/>
      <c r="G33" s="22"/>
      <c r="H33" s="22"/>
      <c r="I33" s="22"/>
      <c r="J33" s="22"/>
      <c r="K33" s="23"/>
      <c r="L33" s="23"/>
      <c r="M33" s="23"/>
      <c r="N33" s="22"/>
    </row>
    <row r="34" customFormat="false" ht="15" hidden="false" customHeight="false" outlineLevel="0" collapsed="false">
      <c r="A34" s="22"/>
      <c r="B34" s="22"/>
      <c r="C34" s="22"/>
      <c r="D34" s="22"/>
      <c r="E34" s="22"/>
      <c r="F34" s="22"/>
      <c r="G34" s="22"/>
      <c r="H34" s="22"/>
      <c r="I34" s="22"/>
      <c r="J34" s="22"/>
      <c r="K34" s="23"/>
      <c r="L34" s="23"/>
      <c r="M34" s="23"/>
      <c r="N34" s="22"/>
    </row>
    <row r="35" customFormat="false" ht="15" hidden="false" customHeight="false" outlineLevel="0" collapsed="false">
      <c r="A35" s="22"/>
      <c r="B35" s="22"/>
      <c r="C35" s="22"/>
      <c r="D35" s="22"/>
      <c r="E35" s="22"/>
      <c r="F35" s="22"/>
      <c r="G35" s="22"/>
      <c r="H35" s="22"/>
      <c r="I35" s="22"/>
      <c r="J35" s="22"/>
      <c r="K35" s="23"/>
      <c r="L35" s="23"/>
      <c r="M35" s="23"/>
      <c r="N35" s="22"/>
    </row>
    <row r="36" customFormat="false" ht="15" hidden="false" customHeight="false" outlineLevel="0" collapsed="false">
      <c r="A36" s="22"/>
      <c r="B36" s="22"/>
      <c r="C36" s="22"/>
      <c r="D36" s="22"/>
      <c r="E36" s="22"/>
      <c r="F36" s="22"/>
      <c r="G36" s="22"/>
      <c r="H36" s="22"/>
      <c r="I36" s="22"/>
      <c r="J36" s="22"/>
      <c r="K36" s="23"/>
      <c r="L36" s="23"/>
      <c r="M36" s="23"/>
      <c r="N36" s="22"/>
    </row>
    <row r="37" customFormat="false" ht="15" hidden="false" customHeight="false" outlineLevel="0" collapsed="false">
      <c r="A37" s="22"/>
      <c r="B37" s="22"/>
      <c r="C37" s="22"/>
      <c r="D37" s="22"/>
      <c r="E37" s="22"/>
      <c r="F37" s="22"/>
      <c r="G37" s="22"/>
      <c r="H37" s="22"/>
      <c r="I37" s="22"/>
      <c r="J37" s="22"/>
      <c r="K37" s="23"/>
      <c r="L37" s="23"/>
      <c r="M37" s="23"/>
      <c r="N37" s="22"/>
    </row>
    <row r="38" customFormat="false" ht="15" hidden="false" customHeight="false" outlineLevel="0" collapsed="false">
      <c r="A38" s="22"/>
      <c r="B38" s="22"/>
      <c r="C38" s="22"/>
      <c r="D38" s="22"/>
      <c r="E38" s="22"/>
      <c r="F38" s="22"/>
      <c r="G38" s="22"/>
      <c r="H38" s="22"/>
      <c r="I38" s="22"/>
      <c r="J38" s="22"/>
      <c r="K38" s="23"/>
      <c r="L38" s="23"/>
      <c r="M38" s="23"/>
      <c r="N38" s="22"/>
    </row>
    <row r="39" customFormat="false" ht="15" hidden="false" customHeight="false" outlineLevel="0" collapsed="false">
      <c r="A39" s="22"/>
      <c r="B39" s="22"/>
      <c r="C39" s="22"/>
      <c r="D39" s="22"/>
      <c r="E39" s="22"/>
      <c r="F39" s="22"/>
      <c r="G39" s="22"/>
      <c r="H39" s="22"/>
      <c r="I39" s="22"/>
      <c r="J39" s="22"/>
      <c r="K39" s="23"/>
      <c r="L39" s="23"/>
      <c r="M39" s="23"/>
      <c r="N39" s="22"/>
    </row>
    <row r="40" customFormat="false" ht="15" hidden="false" customHeight="false" outlineLevel="0" collapsed="false">
      <c r="A40" s="22"/>
      <c r="B40" s="22"/>
      <c r="C40" s="22"/>
      <c r="D40" s="22"/>
      <c r="E40" s="22"/>
      <c r="F40" s="22"/>
      <c r="G40" s="22"/>
      <c r="H40" s="22"/>
      <c r="I40" s="22"/>
      <c r="J40" s="22"/>
      <c r="K40" s="23"/>
      <c r="L40" s="23"/>
      <c r="M40" s="23"/>
      <c r="N40" s="22"/>
    </row>
    <row r="41" customFormat="false" ht="15" hidden="false" customHeight="false" outlineLevel="0" collapsed="false">
      <c r="A41" s="22"/>
      <c r="B41" s="22"/>
      <c r="C41" s="22"/>
      <c r="D41" s="22"/>
      <c r="E41" s="22"/>
      <c r="F41" s="22"/>
      <c r="G41" s="22"/>
      <c r="H41" s="22"/>
      <c r="I41" s="22"/>
      <c r="J41" s="22"/>
      <c r="K41" s="23"/>
      <c r="L41" s="23"/>
      <c r="M41" s="23"/>
      <c r="N41" s="22"/>
    </row>
    <row r="42" customFormat="false" ht="15" hidden="false" customHeight="false" outlineLevel="0" collapsed="false">
      <c r="A42" s="22"/>
      <c r="B42" s="22"/>
      <c r="C42" s="22"/>
      <c r="D42" s="22"/>
      <c r="E42" s="22"/>
      <c r="F42" s="22"/>
      <c r="G42" s="22"/>
      <c r="H42" s="22"/>
      <c r="I42" s="22"/>
      <c r="J42" s="22"/>
      <c r="K42" s="23"/>
      <c r="L42" s="23"/>
      <c r="M42" s="23"/>
      <c r="N42" s="22"/>
    </row>
    <row r="43" customFormat="false" ht="15" hidden="false" customHeight="false" outlineLevel="0" collapsed="false">
      <c r="A43" s="22"/>
      <c r="B43" s="22"/>
      <c r="C43" s="22"/>
      <c r="D43" s="22"/>
      <c r="E43" s="22"/>
      <c r="F43" s="22"/>
      <c r="G43" s="22"/>
      <c r="H43" s="22"/>
      <c r="I43" s="22"/>
      <c r="J43" s="22"/>
      <c r="K43" s="23"/>
      <c r="L43" s="23"/>
      <c r="M43" s="23"/>
      <c r="N43" s="22"/>
    </row>
    <row r="44" customFormat="false" ht="15" hidden="false" customHeight="false" outlineLevel="0" collapsed="false">
      <c r="A44" s="22"/>
      <c r="B44" s="22"/>
      <c r="C44" s="22"/>
      <c r="D44" s="22"/>
      <c r="E44" s="22"/>
      <c r="F44" s="22"/>
      <c r="G44" s="22"/>
      <c r="H44" s="22"/>
      <c r="I44" s="22"/>
      <c r="J44" s="22"/>
      <c r="K44" s="23"/>
      <c r="L44" s="23"/>
      <c r="M44" s="23"/>
      <c r="N44" s="22"/>
    </row>
    <row r="45" customFormat="false" ht="15" hidden="false" customHeight="false" outlineLevel="0" collapsed="false">
      <c r="A45" s="22"/>
      <c r="B45" s="22"/>
      <c r="C45" s="22"/>
      <c r="D45" s="22"/>
      <c r="E45" s="22"/>
      <c r="F45" s="22"/>
      <c r="G45" s="22"/>
      <c r="H45" s="22"/>
      <c r="I45" s="22"/>
      <c r="J45" s="22"/>
      <c r="K45" s="23"/>
      <c r="L45" s="23"/>
      <c r="M45" s="23"/>
      <c r="N45" s="22"/>
    </row>
    <row r="46" customFormat="false" ht="15" hidden="false" customHeight="false" outlineLevel="0" collapsed="false">
      <c r="A46" s="22"/>
      <c r="B46" s="22"/>
      <c r="C46" s="22"/>
      <c r="D46" s="22"/>
      <c r="E46" s="22"/>
      <c r="F46" s="22"/>
      <c r="G46" s="22"/>
      <c r="H46" s="22"/>
      <c r="I46" s="22"/>
      <c r="J46" s="22"/>
      <c r="K46" s="23"/>
      <c r="L46" s="23"/>
      <c r="M46" s="23"/>
      <c r="N46" s="22"/>
    </row>
    <row r="47" customFormat="false" ht="15" hidden="false" customHeight="false" outlineLevel="0" collapsed="false">
      <c r="A47" s="22"/>
      <c r="B47" s="22"/>
      <c r="C47" s="22"/>
      <c r="D47" s="22"/>
      <c r="E47" s="22"/>
      <c r="F47" s="22"/>
      <c r="G47" s="22"/>
      <c r="H47" s="22"/>
      <c r="I47" s="22"/>
      <c r="J47" s="22"/>
      <c r="K47" s="23"/>
      <c r="L47" s="23"/>
      <c r="M47" s="23"/>
      <c r="N47" s="22"/>
    </row>
    <row r="48" customFormat="false" ht="15" hidden="false" customHeight="false" outlineLevel="0" collapsed="false">
      <c r="A48" s="22"/>
      <c r="B48" s="22"/>
      <c r="C48" s="22"/>
      <c r="D48" s="22"/>
      <c r="E48" s="22"/>
      <c r="F48" s="22"/>
      <c r="G48" s="22"/>
      <c r="H48" s="22"/>
      <c r="I48" s="22"/>
      <c r="J48" s="22"/>
      <c r="K48" s="23"/>
      <c r="L48" s="23"/>
      <c r="M48" s="23"/>
      <c r="N48" s="22"/>
    </row>
    <row r="49" customFormat="false" ht="15" hidden="false" customHeight="false" outlineLevel="0" collapsed="false">
      <c r="A49" s="22"/>
      <c r="B49" s="22"/>
      <c r="C49" s="22"/>
      <c r="D49" s="22"/>
      <c r="E49" s="22"/>
      <c r="F49" s="22"/>
      <c r="G49" s="22"/>
      <c r="H49" s="22"/>
      <c r="I49" s="22"/>
      <c r="J49" s="22"/>
      <c r="K49" s="23"/>
      <c r="L49" s="23"/>
      <c r="M49" s="23"/>
      <c r="N49" s="22"/>
    </row>
    <row r="50" customFormat="false" ht="15" hidden="false" customHeight="false" outlineLevel="0" collapsed="false">
      <c r="A50" s="22"/>
      <c r="B50" s="22"/>
      <c r="C50" s="22"/>
      <c r="D50" s="22"/>
      <c r="E50" s="22"/>
      <c r="F50" s="22"/>
      <c r="G50" s="22"/>
      <c r="H50" s="22"/>
      <c r="I50" s="22"/>
      <c r="J50" s="22"/>
      <c r="K50" s="23"/>
      <c r="L50" s="23"/>
      <c r="M50" s="23"/>
      <c r="N50" s="22"/>
    </row>
    <row r="51" customFormat="false" ht="15" hidden="false" customHeight="false" outlineLevel="0" collapsed="false">
      <c r="A51" s="22"/>
      <c r="B51" s="22"/>
      <c r="C51" s="22"/>
      <c r="D51" s="22"/>
      <c r="E51" s="22"/>
      <c r="F51" s="22"/>
      <c r="G51" s="22"/>
      <c r="H51" s="22"/>
      <c r="I51" s="22"/>
      <c r="J51" s="22"/>
      <c r="K51" s="23"/>
      <c r="L51" s="23"/>
      <c r="M51" s="23"/>
      <c r="N51" s="22"/>
    </row>
    <row r="52" customFormat="false" ht="15" hidden="false" customHeight="false" outlineLevel="0" collapsed="false">
      <c r="A52" s="22"/>
      <c r="B52" s="22"/>
      <c r="C52" s="22"/>
      <c r="D52" s="22"/>
      <c r="E52" s="22"/>
      <c r="F52" s="22"/>
      <c r="G52" s="22"/>
      <c r="H52" s="22"/>
      <c r="I52" s="22"/>
      <c r="J52" s="22"/>
      <c r="K52" s="23"/>
      <c r="L52" s="23"/>
      <c r="M52" s="23"/>
      <c r="N52" s="22"/>
    </row>
    <row r="53" customFormat="false" ht="15" hidden="false" customHeight="false" outlineLevel="0" collapsed="false">
      <c r="A53" s="22"/>
      <c r="B53" s="22"/>
      <c r="C53" s="22"/>
      <c r="D53" s="22"/>
      <c r="E53" s="22"/>
      <c r="F53" s="22"/>
      <c r="G53" s="22"/>
      <c r="H53" s="22"/>
      <c r="I53" s="22"/>
      <c r="J53" s="22"/>
      <c r="K53" s="23"/>
      <c r="L53" s="23"/>
      <c r="M53" s="23"/>
      <c r="N53" s="22"/>
    </row>
    <row r="54" customFormat="false" ht="15" hidden="false" customHeight="false" outlineLevel="0" collapsed="false">
      <c r="A54" s="22"/>
      <c r="B54" s="22"/>
      <c r="C54" s="22"/>
      <c r="D54" s="22"/>
      <c r="E54" s="22"/>
      <c r="F54" s="22"/>
      <c r="G54" s="22"/>
      <c r="H54" s="22"/>
      <c r="I54" s="22"/>
      <c r="J54" s="22"/>
      <c r="K54" s="23"/>
      <c r="L54" s="23"/>
      <c r="M54" s="23"/>
      <c r="N54" s="22"/>
    </row>
    <row r="55" customFormat="false" ht="15" hidden="false" customHeight="false" outlineLevel="0" collapsed="false">
      <c r="A55" s="22"/>
      <c r="B55" s="22"/>
      <c r="C55" s="22"/>
      <c r="D55" s="22"/>
      <c r="E55" s="22"/>
      <c r="F55" s="22"/>
      <c r="G55" s="22"/>
      <c r="H55" s="22"/>
      <c r="I55" s="22"/>
      <c r="J55" s="22"/>
      <c r="K55" s="23"/>
      <c r="L55" s="23"/>
      <c r="M55" s="23"/>
      <c r="N55" s="22"/>
    </row>
    <row r="56" customFormat="false" ht="15" hidden="false" customHeight="false" outlineLevel="0" collapsed="false">
      <c r="A56" s="22"/>
      <c r="B56" s="22"/>
      <c r="C56" s="22"/>
      <c r="D56" s="22"/>
      <c r="E56" s="22"/>
      <c r="F56" s="22"/>
      <c r="G56" s="22"/>
      <c r="H56" s="22"/>
      <c r="I56" s="22"/>
      <c r="J56" s="22"/>
      <c r="K56" s="23"/>
      <c r="L56" s="23"/>
      <c r="M56" s="23"/>
      <c r="N56" s="22"/>
    </row>
    <row r="57" customFormat="false" ht="15" hidden="false" customHeight="false" outlineLevel="0" collapsed="false">
      <c r="A57" s="22"/>
      <c r="B57" s="22"/>
      <c r="C57" s="22"/>
      <c r="D57" s="22"/>
      <c r="E57" s="22"/>
      <c r="F57" s="22"/>
      <c r="G57" s="22"/>
      <c r="H57" s="22"/>
      <c r="I57" s="22"/>
      <c r="J57" s="22"/>
      <c r="K57" s="23"/>
      <c r="L57" s="23"/>
      <c r="M57" s="23"/>
      <c r="N57" s="22"/>
    </row>
    <row r="58" customFormat="false" ht="15" hidden="false" customHeight="false" outlineLevel="0" collapsed="false">
      <c r="A58" s="22"/>
      <c r="B58" s="22"/>
      <c r="C58" s="22"/>
      <c r="D58" s="22"/>
      <c r="E58" s="22"/>
      <c r="F58" s="22"/>
      <c r="G58" s="22"/>
      <c r="H58" s="22"/>
      <c r="I58" s="22"/>
      <c r="J58" s="22"/>
      <c r="K58" s="23"/>
      <c r="L58" s="23"/>
      <c r="M58" s="23"/>
      <c r="N58" s="22"/>
    </row>
    <row r="59" customFormat="false" ht="15" hidden="false" customHeight="false" outlineLevel="0" collapsed="false">
      <c r="A59" s="22"/>
      <c r="B59" s="22"/>
      <c r="C59" s="22"/>
      <c r="D59" s="22"/>
      <c r="E59" s="22"/>
      <c r="F59" s="22"/>
      <c r="G59" s="22"/>
      <c r="H59" s="22"/>
      <c r="I59" s="22"/>
      <c r="J59" s="22"/>
      <c r="K59" s="23"/>
      <c r="L59" s="23"/>
      <c r="M59" s="23"/>
      <c r="N59" s="22"/>
    </row>
    <row r="60" customFormat="false" ht="15" hidden="false" customHeight="false" outlineLevel="0" collapsed="false">
      <c r="A60" s="22"/>
      <c r="B60" s="22"/>
      <c r="C60" s="22"/>
      <c r="D60" s="22"/>
      <c r="E60" s="22"/>
      <c r="F60" s="22"/>
      <c r="G60" s="22"/>
      <c r="H60" s="22"/>
      <c r="I60" s="22"/>
      <c r="J60" s="22"/>
      <c r="K60" s="23"/>
      <c r="L60" s="23"/>
      <c r="M60" s="23"/>
      <c r="N60" s="22"/>
    </row>
    <row r="61" customFormat="false" ht="15" hidden="false" customHeight="false" outlineLevel="0" collapsed="false">
      <c r="A61" s="22"/>
      <c r="B61" s="22"/>
      <c r="C61" s="22"/>
      <c r="D61" s="22"/>
      <c r="E61" s="22"/>
      <c r="F61" s="22"/>
      <c r="G61" s="22"/>
      <c r="H61" s="22"/>
      <c r="I61" s="22"/>
      <c r="J61" s="22"/>
      <c r="K61" s="23"/>
      <c r="L61" s="23"/>
      <c r="M61" s="23"/>
      <c r="N61" s="22"/>
    </row>
    <row r="62" customFormat="false" ht="15" hidden="false" customHeight="false" outlineLevel="0" collapsed="false">
      <c r="A62" s="22"/>
      <c r="B62" s="22"/>
      <c r="C62" s="22"/>
      <c r="D62" s="22"/>
      <c r="E62" s="22"/>
      <c r="F62" s="22"/>
      <c r="G62" s="22"/>
      <c r="H62" s="22"/>
      <c r="I62" s="22"/>
      <c r="J62" s="22"/>
      <c r="K62" s="23"/>
      <c r="L62" s="23"/>
      <c r="M62" s="23"/>
      <c r="N62" s="22"/>
    </row>
    <row r="63" customFormat="false" ht="15" hidden="false" customHeight="false" outlineLevel="0" collapsed="false">
      <c r="A63" s="22"/>
      <c r="B63" s="22"/>
      <c r="C63" s="22"/>
      <c r="D63" s="22"/>
      <c r="E63" s="22"/>
      <c r="F63" s="22"/>
      <c r="G63" s="22"/>
      <c r="H63" s="22"/>
      <c r="I63" s="22"/>
      <c r="J63" s="22"/>
      <c r="K63" s="23"/>
      <c r="L63" s="23"/>
      <c r="M63" s="23"/>
      <c r="N63" s="22"/>
    </row>
    <row r="64" customFormat="false" ht="15" hidden="false" customHeight="false" outlineLevel="0" collapsed="false">
      <c r="A64" s="22"/>
      <c r="B64" s="22"/>
      <c r="C64" s="22"/>
      <c r="D64" s="22"/>
      <c r="E64" s="22"/>
      <c r="F64" s="22"/>
      <c r="G64" s="22"/>
      <c r="H64" s="22"/>
      <c r="I64" s="22"/>
      <c r="J64" s="22"/>
      <c r="K64" s="23"/>
      <c r="L64" s="23"/>
      <c r="M64" s="23"/>
      <c r="N64" s="22"/>
    </row>
    <row r="65" customFormat="false" ht="15" hidden="false" customHeight="false" outlineLevel="0" collapsed="false">
      <c r="A65" s="22"/>
      <c r="B65" s="22"/>
      <c r="C65" s="22"/>
      <c r="D65" s="22"/>
      <c r="E65" s="22"/>
      <c r="F65" s="22"/>
      <c r="G65" s="22"/>
      <c r="H65" s="22"/>
      <c r="I65" s="22"/>
      <c r="J65" s="22"/>
      <c r="K65" s="23"/>
      <c r="L65" s="23"/>
      <c r="M65" s="23"/>
      <c r="N65" s="22"/>
    </row>
    <row r="66" customFormat="false" ht="15" hidden="false" customHeight="false" outlineLevel="0" collapsed="false">
      <c r="A66" s="22"/>
      <c r="B66" s="22"/>
      <c r="C66" s="22"/>
      <c r="D66" s="22"/>
      <c r="E66" s="22"/>
      <c r="F66" s="22"/>
      <c r="G66" s="22"/>
      <c r="H66" s="22"/>
      <c r="I66" s="22"/>
      <c r="J66" s="22"/>
      <c r="K66" s="23"/>
      <c r="L66" s="23"/>
      <c r="M66" s="23"/>
      <c r="N66" s="22"/>
    </row>
    <row r="67" customFormat="false" ht="15" hidden="false" customHeight="false" outlineLevel="0" collapsed="false">
      <c r="A67" s="22"/>
      <c r="B67" s="22"/>
      <c r="C67" s="22"/>
      <c r="D67" s="22"/>
      <c r="E67" s="22"/>
      <c r="F67" s="22"/>
      <c r="G67" s="22"/>
      <c r="H67" s="22"/>
      <c r="I67" s="22"/>
      <c r="J67" s="22"/>
      <c r="K67" s="23"/>
      <c r="L67" s="23"/>
      <c r="M67" s="23"/>
      <c r="N67" s="22"/>
    </row>
    <row r="68" customFormat="false" ht="15" hidden="false" customHeight="false" outlineLevel="0" collapsed="false">
      <c r="A68" s="22"/>
      <c r="B68" s="22"/>
      <c r="C68" s="22"/>
      <c r="D68" s="22"/>
      <c r="E68" s="22"/>
      <c r="F68" s="22"/>
      <c r="G68" s="22"/>
      <c r="H68" s="22"/>
      <c r="I68" s="22"/>
      <c r="J68" s="22"/>
      <c r="K68" s="23"/>
      <c r="L68" s="23"/>
      <c r="M68" s="23"/>
      <c r="N68" s="22"/>
    </row>
    <row r="69" customFormat="false" ht="15" hidden="false" customHeight="false" outlineLevel="0" collapsed="false">
      <c r="A69" s="22"/>
      <c r="B69" s="22"/>
      <c r="C69" s="22"/>
      <c r="D69" s="22"/>
      <c r="E69" s="22"/>
      <c r="F69" s="22"/>
      <c r="G69" s="22"/>
      <c r="H69" s="22"/>
      <c r="I69" s="22"/>
      <c r="J69" s="22"/>
      <c r="K69" s="23"/>
      <c r="L69" s="23"/>
      <c r="M69" s="23"/>
      <c r="N69" s="22"/>
    </row>
    <row r="70" customFormat="false" ht="15" hidden="false" customHeight="false" outlineLevel="0" collapsed="false">
      <c r="A70" s="22"/>
      <c r="B70" s="22"/>
      <c r="C70" s="22"/>
      <c r="D70" s="22"/>
      <c r="E70" s="22"/>
      <c r="F70" s="22"/>
      <c r="G70" s="22"/>
      <c r="H70" s="22"/>
      <c r="I70" s="22"/>
      <c r="J70" s="22"/>
      <c r="K70" s="23"/>
      <c r="L70" s="23"/>
      <c r="M70" s="23"/>
      <c r="N70" s="22"/>
    </row>
    <row r="71" customFormat="false" ht="15" hidden="false" customHeight="false" outlineLevel="0" collapsed="false">
      <c r="A71" s="22"/>
      <c r="B71" s="22"/>
      <c r="C71" s="22"/>
      <c r="D71" s="22"/>
      <c r="E71" s="22"/>
      <c r="F71" s="22"/>
      <c r="G71" s="22"/>
      <c r="H71" s="22"/>
      <c r="I71" s="22"/>
      <c r="J71" s="22"/>
      <c r="K71" s="23"/>
      <c r="L71" s="23"/>
      <c r="M71" s="23"/>
      <c r="N71" s="22"/>
    </row>
    <row r="72" customFormat="false" ht="15" hidden="false" customHeight="false" outlineLevel="0" collapsed="false">
      <c r="A72" s="22"/>
      <c r="B72" s="22"/>
      <c r="C72" s="22"/>
      <c r="D72" s="22"/>
      <c r="E72" s="22"/>
      <c r="F72" s="22"/>
      <c r="G72" s="22"/>
      <c r="H72" s="22"/>
      <c r="I72" s="22"/>
      <c r="J72" s="22"/>
      <c r="K72" s="23"/>
      <c r="L72" s="23"/>
      <c r="M72" s="23"/>
      <c r="N72" s="22"/>
    </row>
    <row r="73" customFormat="false" ht="15" hidden="false" customHeight="false" outlineLevel="0" collapsed="false">
      <c r="A73" s="22"/>
      <c r="B73" s="22"/>
      <c r="C73" s="22"/>
      <c r="D73" s="22"/>
      <c r="E73" s="22"/>
      <c r="F73" s="22"/>
      <c r="G73" s="22"/>
      <c r="H73" s="22"/>
      <c r="I73" s="22"/>
      <c r="J73" s="22"/>
      <c r="K73" s="23"/>
      <c r="L73" s="23"/>
      <c r="M73" s="23"/>
      <c r="N73" s="22"/>
    </row>
    <row r="74" customFormat="false" ht="15" hidden="false" customHeight="false" outlineLevel="0" collapsed="false">
      <c r="A74" s="22"/>
      <c r="B74" s="22"/>
      <c r="C74" s="22"/>
      <c r="D74" s="22"/>
      <c r="E74" s="22"/>
      <c r="F74" s="22"/>
      <c r="G74" s="22"/>
      <c r="H74" s="22"/>
      <c r="I74" s="22"/>
      <c r="J74" s="22"/>
      <c r="K74" s="23"/>
      <c r="L74" s="23"/>
      <c r="M74" s="23"/>
      <c r="N74" s="22"/>
    </row>
    <row r="75" customFormat="false" ht="15" hidden="false" customHeight="false" outlineLevel="0" collapsed="false">
      <c r="A75" s="22"/>
      <c r="B75" s="22"/>
      <c r="C75" s="22"/>
      <c r="D75" s="22"/>
      <c r="E75" s="22"/>
      <c r="F75" s="22"/>
      <c r="G75" s="22"/>
      <c r="H75" s="22"/>
      <c r="I75" s="22"/>
      <c r="J75" s="22"/>
      <c r="K75" s="23"/>
      <c r="L75" s="23"/>
      <c r="M75" s="23"/>
      <c r="N75" s="22"/>
    </row>
    <row r="76" customFormat="false" ht="15" hidden="false" customHeight="false" outlineLevel="0" collapsed="false">
      <c r="A76" s="22"/>
      <c r="B76" s="22"/>
      <c r="C76" s="22"/>
      <c r="D76" s="22"/>
      <c r="E76" s="22"/>
      <c r="F76" s="22"/>
      <c r="G76" s="22"/>
      <c r="H76" s="22"/>
      <c r="I76" s="22"/>
      <c r="J76" s="22"/>
      <c r="K76" s="23"/>
      <c r="L76" s="23"/>
      <c r="M76" s="23"/>
      <c r="N76" s="22"/>
    </row>
    <row r="77" customFormat="false" ht="15" hidden="false" customHeight="false" outlineLevel="0" collapsed="false">
      <c r="A77" s="22"/>
      <c r="B77" s="22"/>
      <c r="C77" s="22"/>
      <c r="D77" s="22"/>
      <c r="E77" s="22"/>
      <c r="F77" s="22"/>
      <c r="G77" s="22"/>
      <c r="H77" s="22"/>
      <c r="I77" s="22"/>
      <c r="J77" s="22"/>
      <c r="K77" s="23"/>
      <c r="L77" s="23"/>
      <c r="M77" s="23"/>
      <c r="N77" s="22"/>
    </row>
    <row r="78" customFormat="false" ht="15" hidden="false" customHeight="false" outlineLevel="0" collapsed="false">
      <c r="A78" s="22"/>
      <c r="B78" s="22"/>
      <c r="C78" s="22"/>
      <c r="D78" s="22"/>
      <c r="E78" s="22"/>
      <c r="F78" s="22"/>
      <c r="G78" s="22"/>
      <c r="H78" s="22"/>
      <c r="I78" s="22"/>
      <c r="J78" s="22"/>
      <c r="K78" s="23"/>
      <c r="L78" s="23"/>
      <c r="M78" s="23"/>
      <c r="N78" s="22"/>
    </row>
    <row r="79" customFormat="false" ht="15" hidden="false" customHeight="false" outlineLevel="0" collapsed="false">
      <c r="A79" s="22"/>
      <c r="B79" s="22"/>
      <c r="C79" s="22"/>
      <c r="D79" s="22"/>
      <c r="E79" s="22"/>
      <c r="F79" s="22"/>
      <c r="G79" s="22"/>
      <c r="H79" s="22"/>
      <c r="I79" s="22"/>
      <c r="J79" s="22"/>
      <c r="K79" s="23"/>
      <c r="L79" s="23"/>
      <c r="M79" s="23"/>
      <c r="N79" s="22"/>
    </row>
    <row r="80" customFormat="false" ht="15" hidden="false" customHeight="false" outlineLevel="0" collapsed="false">
      <c r="A80" s="22"/>
      <c r="B80" s="22"/>
      <c r="C80" s="22"/>
      <c r="D80" s="22"/>
      <c r="E80" s="22"/>
      <c r="F80" s="22"/>
      <c r="G80" s="22"/>
      <c r="H80" s="22"/>
      <c r="I80" s="22"/>
      <c r="J80" s="22"/>
      <c r="K80" s="23"/>
      <c r="L80" s="23"/>
      <c r="M80" s="23"/>
      <c r="N80" s="22"/>
    </row>
    <row r="81" customFormat="false" ht="15" hidden="false" customHeight="false" outlineLevel="0" collapsed="false">
      <c r="A81" s="22"/>
      <c r="B81" s="22"/>
      <c r="C81" s="22"/>
      <c r="D81" s="22"/>
      <c r="E81" s="22"/>
      <c r="F81" s="22"/>
      <c r="G81" s="22"/>
      <c r="H81" s="22"/>
      <c r="I81" s="22"/>
      <c r="J81" s="22"/>
      <c r="K81" s="23"/>
      <c r="L81" s="23"/>
      <c r="M81" s="23"/>
      <c r="N81" s="22"/>
    </row>
    <row r="82" customFormat="false" ht="15" hidden="false" customHeight="false" outlineLevel="0" collapsed="false">
      <c r="A82" s="22"/>
      <c r="B82" s="22"/>
      <c r="C82" s="22"/>
      <c r="D82" s="22"/>
      <c r="E82" s="22"/>
      <c r="F82" s="22"/>
      <c r="G82" s="22"/>
      <c r="H82" s="22"/>
      <c r="I82" s="22"/>
      <c r="J82" s="22"/>
      <c r="K82" s="23"/>
      <c r="L82" s="23"/>
      <c r="M82" s="23"/>
      <c r="N82" s="22"/>
    </row>
    <row r="83" customFormat="false" ht="15" hidden="false" customHeight="false" outlineLevel="0" collapsed="false">
      <c r="A83" s="22"/>
      <c r="B83" s="22"/>
      <c r="C83" s="22"/>
      <c r="D83" s="22"/>
      <c r="E83" s="22"/>
      <c r="F83" s="22"/>
      <c r="G83" s="22"/>
      <c r="H83" s="22"/>
      <c r="I83" s="22"/>
      <c r="J83" s="22"/>
      <c r="K83" s="23"/>
      <c r="L83" s="23"/>
      <c r="M83" s="23"/>
      <c r="N83" s="22"/>
    </row>
    <row r="84" customFormat="false" ht="15" hidden="false" customHeight="false" outlineLevel="0" collapsed="false">
      <c r="A84" s="22"/>
      <c r="B84" s="22"/>
      <c r="C84" s="22"/>
      <c r="D84" s="22"/>
      <c r="E84" s="22"/>
      <c r="F84" s="22"/>
      <c r="G84" s="22"/>
      <c r="H84" s="22"/>
      <c r="I84" s="22"/>
      <c r="J84" s="22"/>
      <c r="K84" s="23"/>
      <c r="L84" s="23"/>
      <c r="M84" s="23"/>
      <c r="N84" s="22"/>
    </row>
    <row r="85" customFormat="false" ht="15" hidden="false" customHeight="false" outlineLevel="0" collapsed="false">
      <c r="A85" s="22"/>
      <c r="B85" s="22"/>
      <c r="C85" s="22"/>
      <c r="D85" s="22"/>
      <c r="E85" s="22"/>
      <c r="F85" s="22"/>
      <c r="G85" s="22"/>
      <c r="H85" s="22"/>
      <c r="I85" s="22"/>
      <c r="J85" s="22"/>
      <c r="K85" s="23"/>
      <c r="L85" s="23"/>
      <c r="M85" s="23"/>
      <c r="N85" s="22"/>
    </row>
    <row r="86" customFormat="false" ht="15" hidden="false" customHeight="false" outlineLevel="0" collapsed="false">
      <c r="A86" s="22"/>
      <c r="B86" s="22"/>
      <c r="C86" s="22"/>
      <c r="D86" s="22"/>
      <c r="E86" s="22"/>
      <c r="F86" s="22"/>
      <c r="G86" s="22"/>
      <c r="H86" s="22"/>
      <c r="I86" s="22"/>
      <c r="J86" s="22"/>
      <c r="K86" s="23"/>
      <c r="L86" s="23"/>
      <c r="M86" s="23"/>
      <c r="N86" s="22"/>
    </row>
    <row r="87" customFormat="false" ht="15" hidden="false" customHeight="false" outlineLevel="0" collapsed="false">
      <c r="A87" s="22"/>
      <c r="B87" s="22"/>
      <c r="C87" s="22"/>
      <c r="D87" s="22"/>
      <c r="E87" s="22"/>
      <c r="F87" s="22"/>
      <c r="G87" s="22"/>
      <c r="H87" s="22"/>
      <c r="I87" s="22"/>
      <c r="J87" s="22"/>
      <c r="K87" s="23"/>
      <c r="L87" s="23"/>
      <c r="M87" s="23"/>
      <c r="N87" s="22"/>
    </row>
    <row r="88" customFormat="false" ht="15" hidden="false" customHeight="false" outlineLevel="0" collapsed="false">
      <c r="A88" s="22"/>
      <c r="B88" s="22"/>
      <c r="C88" s="22"/>
      <c r="D88" s="22"/>
      <c r="E88" s="22"/>
      <c r="F88" s="22"/>
      <c r="G88" s="22"/>
      <c r="H88" s="22"/>
      <c r="I88" s="22"/>
      <c r="J88" s="22"/>
      <c r="K88" s="23"/>
      <c r="L88" s="23"/>
      <c r="M88" s="23"/>
      <c r="N88" s="22"/>
    </row>
    <row r="89" customFormat="false" ht="15" hidden="false" customHeight="false" outlineLevel="0" collapsed="false">
      <c r="A89" s="22"/>
      <c r="B89" s="22"/>
      <c r="C89" s="22"/>
      <c r="D89" s="22"/>
      <c r="E89" s="22"/>
      <c r="F89" s="22"/>
      <c r="G89" s="22"/>
      <c r="H89" s="22"/>
      <c r="I89" s="22"/>
      <c r="J89" s="22"/>
      <c r="K89" s="23"/>
      <c r="L89" s="23"/>
      <c r="M89" s="23"/>
      <c r="N89" s="22"/>
    </row>
    <row r="90" customFormat="false" ht="15" hidden="false" customHeight="false" outlineLevel="0" collapsed="false">
      <c r="A90" s="22"/>
      <c r="B90" s="22"/>
      <c r="C90" s="22"/>
      <c r="D90" s="22"/>
      <c r="E90" s="22"/>
      <c r="F90" s="22"/>
      <c r="G90" s="22"/>
      <c r="H90" s="22"/>
      <c r="I90" s="22"/>
      <c r="J90" s="22"/>
      <c r="K90" s="23"/>
      <c r="L90" s="23"/>
      <c r="M90" s="23"/>
      <c r="N90" s="22"/>
    </row>
    <row r="91" customFormat="false" ht="15" hidden="false" customHeight="false" outlineLevel="0" collapsed="false">
      <c r="A91" s="22"/>
      <c r="B91" s="22"/>
      <c r="C91" s="22"/>
      <c r="D91" s="22"/>
      <c r="E91" s="22"/>
      <c r="F91" s="22"/>
      <c r="G91" s="22"/>
      <c r="H91" s="22"/>
      <c r="I91" s="22"/>
      <c r="J91" s="22"/>
      <c r="K91" s="23"/>
      <c r="L91" s="23"/>
      <c r="M91" s="23"/>
      <c r="N91" s="22"/>
    </row>
    <row r="92" customFormat="false" ht="15" hidden="false" customHeight="false" outlineLevel="0" collapsed="false">
      <c r="A92" s="22"/>
      <c r="B92" s="22"/>
      <c r="C92" s="22"/>
      <c r="D92" s="22"/>
      <c r="E92" s="22"/>
      <c r="F92" s="22"/>
      <c r="G92" s="22"/>
      <c r="H92" s="22"/>
      <c r="I92" s="22"/>
      <c r="J92" s="22"/>
      <c r="K92" s="23"/>
      <c r="L92" s="23"/>
      <c r="M92" s="23"/>
      <c r="N92" s="22"/>
    </row>
    <row r="93" customFormat="false" ht="15" hidden="false" customHeight="false" outlineLevel="0" collapsed="false">
      <c r="A93" s="22"/>
      <c r="B93" s="22"/>
      <c r="C93" s="22"/>
      <c r="D93" s="22"/>
      <c r="E93" s="22"/>
      <c r="F93" s="22"/>
      <c r="G93" s="22"/>
      <c r="H93" s="22"/>
      <c r="I93" s="22"/>
      <c r="J93" s="22"/>
      <c r="K93" s="23"/>
      <c r="L93" s="23"/>
      <c r="M93" s="23"/>
      <c r="N93" s="22"/>
    </row>
    <row r="94" customFormat="false" ht="15" hidden="false" customHeight="false" outlineLevel="0" collapsed="false">
      <c r="A94" s="22"/>
      <c r="B94" s="22"/>
      <c r="C94" s="22"/>
      <c r="D94" s="22"/>
      <c r="E94" s="22"/>
      <c r="F94" s="22"/>
      <c r="G94" s="22"/>
      <c r="H94" s="22"/>
      <c r="I94" s="22"/>
      <c r="J94" s="22"/>
      <c r="K94" s="23"/>
      <c r="L94" s="23"/>
      <c r="M94" s="23"/>
      <c r="N94" s="22"/>
    </row>
    <row r="95" customFormat="false" ht="15" hidden="false" customHeight="false" outlineLevel="0" collapsed="false">
      <c r="A95" s="22"/>
      <c r="B95" s="22"/>
      <c r="C95" s="22"/>
      <c r="D95" s="22"/>
      <c r="E95" s="22"/>
      <c r="F95" s="22"/>
      <c r="G95" s="22"/>
      <c r="H95" s="22"/>
      <c r="I95" s="22"/>
      <c r="J95" s="22"/>
      <c r="K95" s="23"/>
      <c r="L95" s="23"/>
      <c r="M95" s="23"/>
      <c r="N95" s="22"/>
    </row>
    <row r="96" customFormat="false" ht="15" hidden="false" customHeight="false" outlineLevel="0" collapsed="false">
      <c r="A96" s="22"/>
      <c r="B96" s="22"/>
      <c r="C96" s="22"/>
      <c r="D96" s="22"/>
      <c r="E96" s="22"/>
      <c r="F96" s="22"/>
      <c r="G96" s="22"/>
      <c r="H96" s="22"/>
      <c r="I96" s="22"/>
      <c r="J96" s="22"/>
      <c r="K96" s="23"/>
      <c r="L96" s="23"/>
      <c r="M96" s="23"/>
      <c r="N96" s="22"/>
    </row>
    <row r="97" customFormat="false" ht="15" hidden="false" customHeight="false" outlineLevel="0" collapsed="false">
      <c r="A97" s="22"/>
      <c r="B97" s="22"/>
      <c r="C97" s="22"/>
      <c r="D97" s="22"/>
      <c r="E97" s="22"/>
      <c r="F97" s="22"/>
      <c r="G97" s="22"/>
      <c r="H97" s="22"/>
      <c r="I97" s="22"/>
      <c r="J97" s="22"/>
      <c r="K97" s="23"/>
      <c r="L97" s="23"/>
      <c r="M97" s="23"/>
      <c r="N97" s="22"/>
    </row>
    <row r="98" customFormat="false" ht="15" hidden="false" customHeight="false" outlineLevel="0" collapsed="false">
      <c r="A98" s="22"/>
      <c r="B98" s="22"/>
      <c r="C98" s="22"/>
      <c r="D98" s="22"/>
      <c r="E98" s="22"/>
      <c r="F98" s="22"/>
      <c r="G98" s="22"/>
      <c r="H98" s="22"/>
      <c r="I98" s="22"/>
      <c r="J98" s="22"/>
      <c r="K98" s="23"/>
      <c r="L98" s="23"/>
      <c r="M98" s="23"/>
      <c r="N98" s="22"/>
    </row>
    <row r="99" customFormat="false" ht="15" hidden="false" customHeight="false" outlineLevel="0" collapsed="false">
      <c r="A99" s="22"/>
      <c r="B99" s="22"/>
      <c r="C99" s="22"/>
      <c r="D99" s="22"/>
      <c r="E99" s="22"/>
      <c r="F99" s="22"/>
      <c r="G99" s="22"/>
      <c r="H99" s="22"/>
      <c r="I99" s="22"/>
      <c r="J99" s="22"/>
      <c r="K99" s="23"/>
      <c r="L99" s="23"/>
      <c r="M99" s="23"/>
      <c r="N99" s="22"/>
    </row>
    <row r="100" customFormat="false" ht="15" hidden="false" customHeight="false" outlineLevel="0" collapsed="false">
      <c r="A100" s="22"/>
      <c r="B100" s="22"/>
      <c r="C100" s="22"/>
      <c r="D100" s="22"/>
      <c r="E100" s="22"/>
      <c r="F100" s="22"/>
      <c r="G100" s="22"/>
      <c r="H100" s="22"/>
      <c r="I100" s="22"/>
      <c r="J100" s="22"/>
      <c r="K100" s="23"/>
      <c r="L100" s="23"/>
      <c r="M100" s="23"/>
      <c r="N100" s="22"/>
    </row>
    <row r="101" customFormat="false" ht="15" hidden="false" customHeight="false" outlineLevel="0" collapsed="false">
      <c r="A101" s="22"/>
      <c r="B101" s="22"/>
      <c r="C101" s="22"/>
      <c r="D101" s="22"/>
      <c r="E101" s="22"/>
      <c r="F101" s="22"/>
      <c r="G101" s="22"/>
      <c r="H101" s="22"/>
      <c r="I101" s="22"/>
      <c r="J101" s="22"/>
      <c r="K101" s="23"/>
      <c r="L101" s="23"/>
      <c r="M101" s="23"/>
      <c r="N101" s="22"/>
    </row>
    <row r="102" customFormat="false" ht="15" hidden="false" customHeight="false" outlineLevel="0" collapsed="false">
      <c r="A102" s="22"/>
      <c r="B102" s="22"/>
      <c r="C102" s="22"/>
      <c r="D102" s="22"/>
      <c r="E102" s="22"/>
      <c r="F102" s="22"/>
      <c r="G102" s="22"/>
      <c r="H102" s="22"/>
      <c r="I102" s="22"/>
      <c r="J102" s="22"/>
      <c r="K102" s="23"/>
      <c r="L102" s="23"/>
      <c r="M102" s="23"/>
      <c r="N102" s="22"/>
    </row>
    <row r="103" customFormat="false" ht="15" hidden="false" customHeight="false" outlineLevel="0" collapsed="false">
      <c r="A103" s="22"/>
      <c r="B103" s="22"/>
      <c r="C103" s="22"/>
      <c r="D103" s="22"/>
      <c r="E103" s="22"/>
      <c r="F103" s="22"/>
      <c r="G103" s="22"/>
      <c r="H103" s="22"/>
      <c r="I103" s="22"/>
      <c r="J103" s="22"/>
      <c r="K103" s="23"/>
      <c r="L103" s="23"/>
      <c r="M103" s="23"/>
      <c r="N103" s="22"/>
    </row>
    <row r="104" customFormat="false" ht="15" hidden="false" customHeight="false" outlineLevel="0" collapsed="false">
      <c r="A104" s="22"/>
      <c r="B104" s="22"/>
      <c r="C104" s="22"/>
      <c r="D104" s="22"/>
      <c r="E104" s="22"/>
      <c r="F104" s="22"/>
      <c r="G104" s="22"/>
      <c r="H104" s="22"/>
      <c r="I104" s="22"/>
      <c r="J104" s="22"/>
      <c r="K104" s="23"/>
      <c r="L104" s="23"/>
      <c r="M104" s="23"/>
      <c r="N104" s="22"/>
    </row>
    <row r="105" customFormat="false" ht="15" hidden="false" customHeight="false" outlineLevel="0" collapsed="false">
      <c r="A105" s="22"/>
      <c r="B105" s="22"/>
      <c r="C105" s="22"/>
      <c r="D105" s="22"/>
      <c r="E105" s="22"/>
      <c r="F105" s="22"/>
      <c r="G105" s="22"/>
      <c r="H105" s="22"/>
      <c r="I105" s="22"/>
      <c r="J105" s="22"/>
      <c r="K105" s="23"/>
      <c r="L105" s="23"/>
      <c r="M105" s="23"/>
      <c r="N105" s="22"/>
    </row>
    <row r="106" customFormat="false" ht="15" hidden="false" customHeight="false" outlineLevel="0" collapsed="false">
      <c r="A106" s="22"/>
      <c r="B106" s="22"/>
      <c r="C106" s="22"/>
      <c r="D106" s="22"/>
      <c r="E106" s="22"/>
      <c r="F106" s="22"/>
      <c r="G106" s="22"/>
      <c r="H106" s="22"/>
      <c r="I106" s="22"/>
      <c r="J106" s="22"/>
      <c r="K106" s="23"/>
      <c r="L106" s="23"/>
      <c r="M106" s="23"/>
      <c r="N106" s="22"/>
    </row>
    <row r="107" customFormat="false" ht="15" hidden="false" customHeight="false" outlineLevel="0" collapsed="false">
      <c r="A107" s="22"/>
      <c r="B107" s="22"/>
      <c r="C107" s="22"/>
      <c r="D107" s="22"/>
      <c r="E107" s="22"/>
      <c r="F107" s="22"/>
      <c r="G107" s="22"/>
      <c r="H107" s="22"/>
      <c r="I107" s="22"/>
      <c r="J107" s="22"/>
      <c r="K107" s="23"/>
      <c r="L107" s="23"/>
      <c r="M107" s="23"/>
      <c r="N107" s="22"/>
    </row>
    <row r="108" customFormat="false" ht="15" hidden="false" customHeight="false" outlineLevel="0" collapsed="false">
      <c r="A108" s="22"/>
      <c r="B108" s="22"/>
      <c r="C108" s="22"/>
      <c r="D108" s="22"/>
      <c r="E108" s="22"/>
      <c r="F108" s="22"/>
      <c r="G108" s="22"/>
      <c r="H108" s="22"/>
      <c r="I108" s="22"/>
      <c r="J108" s="22"/>
      <c r="K108" s="23"/>
      <c r="L108" s="23"/>
      <c r="M108" s="23"/>
      <c r="N108" s="22"/>
    </row>
    <row r="109" customFormat="false" ht="15" hidden="false" customHeight="false" outlineLevel="0" collapsed="false">
      <c r="A109" s="22"/>
      <c r="B109" s="22"/>
      <c r="C109" s="22"/>
      <c r="D109" s="22"/>
      <c r="E109" s="22"/>
      <c r="F109" s="22"/>
      <c r="G109" s="22"/>
      <c r="H109" s="22"/>
      <c r="I109" s="22"/>
      <c r="J109" s="22"/>
      <c r="K109" s="23"/>
      <c r="L109" s="23"/>
      <c r="M109" s="23"/>
      <c r="N109" s="22"/>
    </row>
    <row r="110" customFormat="false" ht="15" hidden="false" customHeight="false" outlineLevel="0" collapsed="false">
      <c r="A110" s="22"/>
      <c r="B110" s="22"/>
      <c r="C110" s="22"/>
      <c r="D110" s="22"/>
      <c r="E110" s="22"/>
      <c r="F110" s="22"/>
      <c r="G110" s="22"/>
      <c r="H110" s="22"/>
      <c r="I110" s="22"/>
      <c r="J110" s="22"/>
      <c r="K110" s="23"/>
      <c r="L110" s="23"/>
      <c r="M110" s="23"/>
      <c r="N110" s="22"/>
    </row>
    <row r="111" customFormat="false" ht="15" hidden="false" customHeight="false" outlineLevel="0" collapsed="false">
      <c r="A111" s="22"/>
      <c r="B111" s="22"/>
      <c r="C111" s="22"/>
      <c r="D111" s="22"/>
      <c r="E111" s="22"/>
      <c r="F111" s="22"/>
      <c r="G111" s="22"/>
      <c r="H111" s="22"/>
      <c r="I111" s="22"/>
      <c r="J111" s="22"/>
      <c r="K111" s="23"/>
      <c r="L111" s="23"/>
      <c r="M111" s="23"/>
      <c r="N111" s="22"/>
    </row>
    <row r="112" customFormat="false" ht="15" hidden="false" customHeight="false" outlineLevel="0" collapsed="false">
      <c r="A112" s="22"/>
      <c r="B112" s="22"/>
      <c r="C112" s="22"/>
      <c r="D112" s="22"/>
      <c r="E112" s="22"/>
      <c r="F112" s="22"/>
      <c r="G112" s="22"/>
      <c r="H112" s="22"/>
      <c r="I112" s="22"/>
      <c r="J112" s="22"/>
      <c r="K112" s="23"/>
      <c r="L112" s="23"/>
      <c r="M112" s="23"/>
      <c r="N112" s="22"/>
    </row>
    <row r="113" customFormat="false" ht="15" hidden="false" customHeight="false" outlineLevel="0" collapsed="false">
      <c r="A113" s="22"/>
      <c r="B113" s="22"/>
      <c r="C113" s="22"/>
      <c r="D113" s="22"/>
      <c r="E113" s="22"/>
      <c r="F113" s="22"/>
      <c r="G113" s="22"/>
      <c r="H113" s="22"/>
      <c r="I113" s="22"/>
      <c r="J113" s="22"/>
      <c r="K113" s="23"/>
      <c r="L113" s="23"/>
      <c r="M113" s="23"/>
      <c r="N113" s="22"/>
    </row>
    <row r="114" customFormat="false" ht="15" hidden="false" customHeight="false" outlineLevel="0" collapsed="false">
      <c r="A114" s="22"/>
      <c r="B114" s="22"/>
      <c r="C114" s="22"/>
      <c r="D114" s="22"/>
      <c r="E114" s="22"/>
      <c r="F114" s="22"/>
      <c r="G114" s="22"/>
      <c r="H114" s="22"/>
      <c r="I114" s="22"/>
      <c r="J114" s="22"/>
      <c r="K114" s="23"/>
      <c r="L114" s="23"/>
      <c r="M114" s="23"/>
      <c r="N114" s="22"/>
    </row>
    <row r="115" customFormat="false" ht="15" hidden="false" customHeight="false" outlineLevel="0" collapsed="false">
      <c r="A115" s="22"/>
      <c r="B115" s="22"/>
      <c r="C115" s="22"/>
      <c r="D115" s="22"/>
      <c r="E115" s="22"/>
      <c r="F115" s="22"/>
      <c r="G115" s="22"/>
      <c r="H115" s="22"/>
      <c r="I115" s="22"/>
      <c r="J115" s="22"/>
      <c r="K115" s="23"/>
      <c r="L115" s="23"/>
      <c r="M115" s="23"/>
      <c r="N115" s="22"/>
    </row>
    <row r="116" customFormat="false" ht="15" hidden="false" customHeight="false" outlineLevel="0" collapsed="false">
      <c r="A116" s="22"/>
      <c r="B116" s="22"/>
      <c r="C116" s="22"/>
      <c r="D116" s="22"/>
      <c r="E116" s="22"/>
      <c r="F116" s="22"/>
      <c r="G116" s="22"/>
      <c r="H116" s="22"/>
      <c r="I116" s="22"/>
      <c r="J116" s="22"/>
      <c r="K116" s="23"/>
      <c r="L116" s="23"/>
      <c r="M116" s="23"/>
      <c r="N116" s="22"/>
    </row>
    <row r="117" customFormat="false" ht="15" hidden="false" customHeight="false" outlineLevel="0" collapsed="false">
      <c r="A117" s="22"/>
      <c r="B117" s="22"/>
      <c r="C117" s="22"/>
      <c r="D117" s="22"/>
      <c r="E117" s="22"/>
      <c r="F117" s="22"/>
      <c r="G117" s="22"/>
      <c r="H117" s="22"/>
      <c r="I117" s="22"/>
      <c r="J117" s="22"/>
      <c r="K117" s="23"/>
      <c r="L117" s="23"/>
      <c r="M117" s="23"/>
      <c r="N117" s="22"/>
    </row>
    <row r="118" customFormat="false" ht="15" hidden="false" customHeight="false" outlineLevel="0" collapsed="false">
      <c r="A118" s="22"/>
      <c r="B118" s="22"/>
      <c r="C118" s="22"/>
      <c r="D118" s="22"/>
      <c r="E118" s="22"/>
      <c r="F118" s="22"/>
      <c r="G118" s="22"/>
      <c r="H118" s="22"/>
      <c r="I118" s="22"/>
      <c r="J118" s="22"/>
      <c r="K118" s="23"/>
      <c r="L118" s="23"/>
      <c r="M118" s="23"/>
      <c r="N118" s="22"/>
    </row>
    <row r="119" customFormat="false" ht="15" hidden="false" customHeight="false" outlineLevel="0" collapsed="false">
      <c r="A119" s="22"/>
      <c r="B119" s="22"/>
      <c r="C119" s="22"/>
      <c r="D119" s="22"/>
      <c r="E119" s="22"/>
      <c r="F119" s="22"/>
      <c r="G119" s="22"/>
      <c r="H119" s="22"/>
      <c r="I119" s="22"/>
      <c r="J119" s="22"/>
      <c r="K119" s="23"/>
      <c r="L119" s="23"/>
      <c r="M119" s="23"/>
      <c r="N119" s="22"/>
    </row>
    <row r="120" customFormat="false" ht="15" hidden="false" customHeight="false" outlineLevel="0" collapsed="false">
      <c r="A120" s="22"/>
      <c r="B120" s="22"/>
      <c r="C120" s="22"/>
      <c r="D120" s="22"/>
      <c r="E120" s="22"/>
      <c r="F120" s="22"/>
      <c r="G120" s="22"/>
      <c r="H120" s="22"/>
      <c r="I120" s="22"/>
      <c r="J120" s="22"/>
      <c r="K120" s="23"/>
      <c r="L120" s="23"/>
      <c r="M120" s="23"/>
      <c r="N120" s="22"/>
    </row>
    <row r="121" customFormat="false" ht="15" hidden="false" customHeight="false" outlineLevel="0" collapsed="false">
      <c r="A121" s="22"/>
      <c r="B121" s="22"/>
      <c r="C121" s="22"/>
      <c r="D121" s="22"/>
      <c r="E121" s="22"/>
      <c r="F121" s="22"/>
      <c r="G121" s="22"/>
      <c r="H121" s="22"/>
      <c r="I121" s="22"/>
      <c r="J121" s="22"/>
      <c r="K121" s="23"/>
      <c r="L121" s="23"/>
      <c r="M121" s="23"/>
      <c r="N121" s="22"/>
    </row>
    <row r="122" customFormat="false" ht="15" hidden="false" customHeight="false" outlineLevel="0" collapsed="false">
      <c r="A122" s="22"/>
      <c r="B122" s="22"/>
      <c r="C122" s="22"/>
      <c r="D122" s="22"/>
      <c r="E122" s="22"/>
      <c r="F122" s="22"/>
      <c r="G122" s="22"/>
      <c r="H122" s="22"/>
      <c r="I122" s="22"/>
      <c r="J122" s="22"/>
      <c r="K122" s="23"/>
      <c r="L122" s="23"/>
      <c r="M122" s="23"/>
      <c r="N122" s="22"/>
    </row>
    <row r="123" customFormat="false" ht="15" hidden="false" customHeight="false" outlineLevel="0" collapsed="false">
      <c r="A123" s="22"/>
      <c r="B123" s="22"/>
      <c r="C123" s="22"/>
      <c r="D123" s="22"/>
      <c r="E123" s="22"/>
      <c r="F123" s="22"/>
      <c r="G123" s="22"/>
      <c r="H123" s="22"/>
      <c r="I123" s="22"/>
      <c r="J123" s="22"/>
      <c r="K123" s="23"/>
      <c r="L123" s="23"/>
      <c r="M123" s="23"/>
      <c r="N123" s="22"/>
    </row>
    <row r="124" customFormat="false" ht="15" hidden="false" customHeight="false" outlineLevel="0" collapsed="false">
      <c r="A124" s="22"/>
      <c r="B124" s="22"/>
      <c r="C124" s="22"/>
      <c r="D124" s="22"/>
      <c r="E124" s="22"/>
      <c r="F124" s="22"/>
      <c r="G124" s="22"/>
      <c r="H124" s="22"/>
      <c r="I124" s="22"/>
      <c r="J124" s="22"/>
      <c r="K124" s="23"/>
      <c r="L124" s="23"/>
      <c r="M124" s="23"/>
      <c r="N124" s="22"/>
    </row>
    <row r="125" customFormat="false" ht="15" hidden="false" customHeight="false" outlineLevel="0" collapsed="false">
      <c r="A125" s="22"/>
      <c r="B125" s="22"/>
      <c r="C125" s="22"/>
      <c r="D125" s="22"/>
      <c r="E125" s="22"/>
      <c r="F125" s="22"/>
      <c r="G125" s="22"/>
      <c r="H125" s="22"/>
      <c r="I125" s="22"/>
      <c r="J125" s="22"/>
      <c r="K125" s="23"/>
      <c r="L125" s="23"/>
      <c r="M125" s="23"/>
      <c r="N125" s="22"/>
    </row>
    <row r="126" customFormat="false" ht="15" hidden="false" customHeight="false" outlineLevel="0" collapsed="false">
      <c r="A126" s="22"/>
      <c r="B126" s="22"/>
      <c r="C126" s="22"/>
      <c r="D126" s="22"/>
      <c r="E126" s="22"/>
      <c r="F126" s="22"/>
      <c r="G126" s="22"/>
      <c r="H126" s="22"/>
      <c r="I126" s="22"/>
      <c r="J126" s="22"/>
      <c r="K126" s="23"/>
      <c r="L126" s="23"/>
      <c r="M126" s="23"/>
      <c r="N126" s="22"/>
    </row>
    <row r="127" customFormat="false" ht="15" hidden="false" customHeight="false" outlineLevel="0" collapsed="false">
      <c r="A127" s="22"/>
      <c r="B127" s="22"/>
      <c r="C127" s="22"/>
      <c r="D127" s="22"/>
      <c r="E127" s="22"/>
      <c r="F127" s="22"/>
      <c r="G127" s="22"/>
      <c r="H127" s="22"/>
      <c r="I127" s="22"/>
      <c r="J127" s="22"/>
      <c r="K127" s="23"/>
      <c r="L127" s="23"/>
      <c r="M127" s="23"/>
      <c r="N127" s="22"/>
    </row>
    <row r="128" customFormat="false" ht="15" hidden="false" customHeight="false" outlineLevel="0" collapsed="false">
      <c r="A128" s="22"/>
      <c r="B128" s="22"/>
      <c r="C128" s="22"/>
      <c r="D128" s="22"/>
      <c r="E128" s="22"/>
      <c r="F128" s="22"/>
      <c r="G128" s="22"/>
      <c r="H128" s="22"/>
      <c r="I128" s="22"/>
      <c r="J128" s="22"/>
      <c r="K128" s="23"/>
      <c r="L128" s="23"/>
      <c r="M128" s="23"/>
      <c r="N128" s="22"/>
    </row>
    <row r="129" customFormat="false" ht="15" hidden="false" customHeight="false" outlineLevel="0" collapsed="false">
      <c r="A129" s="22"/>
      <c r="B129" s="22"/>
      <c r="C129" s="22"/>
      <c r="D129" s="22"/>
      <c r="E129" s="22"/>
      <c r="F129" s="22"/>
      <c r="G129" s="22"/>
      <c r="H129" s="22"/>
      <c r="I129" s="22"/>
      <c r="J129" s="22"/>
      <c r="K129" s="23"/>
      <c r="L129" s="23"/>
      <c r="M129" s="23"/>
      <c r="N129" s="22"/>
    </row>
    <row r="130" customFormat="false" ht="15" hidden="false" customHeight="false" outlineLevel="0" collapsed="false">
      <c r="A130" s="22"/>
      <c r="B130" s="22"/>
      <c r="C130" s="22"/>
      <c r="D130" s="22"/>
      <c r="E130" s="22"/>
      <c r="F130" s="22"/>
      <c r="G130" s="22"/>
      <c r="H130" s="22"/>
      <c r="I130" s="22"/>
      <c r="J130" s="22"/>
      <c r="K130" s="23"/>
      <c r="L130" s="23"/>
      <c r="M130" s="23"/>
      <c r="N130" s="22"/>
    </row>
    <row r="131" customFormat="false" ht="15" hidden="false" customHeight="false" outlineLevel="0" collapsed="false">
      <c r="A131" s="22"/>
      <c r="B131" s="22"/>
      <c r="C131" s="22"/>
      <c r="D131" s="22"/>
      <c r="E131" s="22"/>
      <c r="F131" s="22"/>
      <c r="G131" s="22"/>
      <c r="H131" s="22"/>
      <c r="I131" s="22"/>
      <c r="J131" s="22"/>
      <c r="K131" s="23"/>
      <c r="L131" s="23"/>
      <c r="M131" s="23"/>
      <c r="N131" s="22"/>
    </row>
    <row r="132" customFormat="false" ht="15" hidden="false" customHeight="false" outlineLevel="0" collapsed="false">
      <c r="A132" s="22"/>
      <c r="B132" s="22"/>
      <c r="C132" s="22"/>
      <c r="D132" s="22"/>
      <c r="E132" s="22"/>
      <c r="F132" s="22"/>
      <c r="G132" s="22"/>
      <c r="H132" s="22"/>
      <c r="I132" s="22"/>
      <c r="J132" s="22"/>
      <c r="K132" s="23"/>
      <c r="L132" s="23"/>
      <c r="M132" s="23"/>
      <c r="N132" s="22"/>
    </row>
    <row r="133" customFormat="false" ht="15" hidden="false" customHeight="false" outlineLevel="0" collapsed="false">
      <c r="A133" s="22"/>
      <c r="B133" s="22"/>
      <c r="C133" s="22"/>
      <c r="D133" s="22"/>
      <c r="E133" s="22"/>
      <c r="F133" s="22"/>
      <c r="G133" s="22"/>
      <c r="H133" s="22"/>
      <c r="I133" s="22"/>
      <c r="J133" s="22"/>
      <c r="K133" s="23"/>
      <c r="L133" s="23"/>
      <c r="M133" s="23"/>
      <c r="N133" s="22"/>
    </row>
    <row r="134" customFormat="false" ht="15" hidden="false" customHeight="false" outlineLevel="0" collapsed="false">
      <c r="A134" s="22"/>
      <c r="B134" s="22"/>
      <c r="C134" s="22"/>
      <c r="D134" s="22"/>
      <c r="E134" s="22"/>
      <c r="F134" s="22"/>
      <c r="G134" s="22"/>
      <c r="H134" s="22"/>
      <c r="I134" s="22"/>
      <c r="J134" s="22"/>
      <c r="K134" s="23"/>
      <c r="L134" s="23"/>
      <c r="M134" s="23"/>
      <c r="N134" s="22"/>
    </row>
    <row r="135" customFormat="false" ht="15" hidden="false" customHeight="false" outlineLevel="0" collapsed="false">
      <c r="A135" s="22"/>
      <c r="B135" s="22"/>
      <c r="C135" s="22"/>
      <c r="D135" s="22"/>
      <c r="E135" s="22"/>
      <c r="F135" s="22"/>
      <c r="G135" s="22"/>
      <c r="H135" s="22"/>
      <c r="I135" s="22"/>
      <c r="J135" s="22"/>
      <c r="K135" s="23"/>
      <c r="L135" s="23"/>
      <c r="M135" s="23"/>
      <c r="N135" s="22"/>
    </row>
    <row r="136" customFormat="false" ht="15" hidden="false" customHeight="false" outlineLevel="0" collapsed="false">
      <c r="A136" s="22"/>
      <c r="B136" s="22"/>
      <c r="C136" s="22"/>
      <c r="D136" s="22"/>
      <c r="E136" s="22"/>
      <c r="F136" s="22"/>
      <c r="G136" s="22"/>
      <c r="H136" s="22"/>
      <c r="I136" s="22"/>
      <c r="J136" s="22"/>
      <c r="K136" s="23"/>
      <c r="L136" s="23"/>
      <c r="M136" s="23"/>
      <c r="N136" s="22"/>
    </row>
    <row r="137" customFormat="false" ht="15" hidden="false" customHeight="false" outlineLevel="0" collapsed="false">
      <c r="A137" s="22"/>
      <c r="B137" s="22"/>
      <c r="C137" s="22"/>
      <c r="D137" s="22"/>
      <c r="E137" s="22"/>
      <c r="F137" s="22"/>
      <c r="G137" s="22"/>
      <c r="H137" s="22"/>
      <c r="I137" s="22"/>
      <c r="J137" s="22"/>
      <c r="K137" s="23"/>
      <c r="L137" s="23"/>
      <c r="M137" s="23"/>
      <c r="N137" s="22"/>
    </row>
    <row r="138" customFormat="false" ht="15" hidden="false" customHeight="false" outlineLevel="0" collapsed="false">
      <c r="A138" s="22"/>
      <c r="B138" s="22"/>
      <c r="C138" s="22"/>
      <c r="D138" s="22"/>
      <c r="E138" s="22"/>
      <c r="F138" s="22"/>
      <c r="G138" s="22"/>
      <c r="H138" s="22"/>
      <c r="I138" s="22"/>
      <c r="J138" s="22"/>
      <c r="K138" s="23"/>
      <c r="L138" s="23"/>
      <c r="M138" s="23"/>
      <c r="N138" s="22"/>
    </row>
    <row r="139" customFormat="false" ht="15" hidden="false" customHeight="false" outlineLevel="0" collapsed="false">
      <c r="A139" s="22"/>
      <c r="B139" s="22"/>
      <c r="C139" s="22"/>
      <c r="D139" s="22"/>
      <c r="E139" s="22"/>
      <c r="F139" s="22"/>
      <c r="G139" s="22"/>
      <c r="H139" s="22"/>
      <c r="I139" s="22"/>
      <c r="J139" s="22"/>
      <c r="K139" s="23"/>
      <c r="L139" s="23"/>
      <c r="M139" s="23"/>
      <c r="N139" s="22"/>
    </row>
    <row r="140" customFormat="false" ht="15" hidden="false" customHeight="false" outlineLevel="0" collapsed="false">
      <c r="A140" s="22"/>
      <c r="B140" s="22"/>
      <c r="C140" s="22"/>
      <c r="D140" s="22"/>
      <c r="E140" s="22"/>
      <c r="F140" s="22"/>
      <c r="G140" s="22"/>
      <c r="H140" s="22"/>
      <c r="I140" s="22"/>
      <c r="J140" s="22"/>
      <c r="K140" s="23"/>
      <c r="L140" s="23"/>
      <c r="M140" s="23"/>
      <c r="N140" s="22"/>
    </row>
    <row r="141" customFormat="false" ht="15" hidden="false" customHeight="false" outlineLevel="0" collapsed="false">
      <c r="A141" s="22"/>
      <c r="B141" s="22"/>
      <c r="C141" s="22"/>
      <c r="D141" s="22"/>
      <c r="E141" s="22"/>
      <c r="F141" s="22"/>
      <c r="G141" s="22"/>
      <c r="H141" s="22"/>
      <c r="I141" s="22"/>
      <c r="J141" s="22"/>
      <c r="K141" s="23"/>
      <c r="L141" s="23"/>
      <c r="M141" s="23"/>
      <c r="N141" s="22"/>
    </row>
    <row r="142" customFormat="false" ht="15" hidden="false" customHeight="false" outlineLevel="0" collapsed="false">
      <c r="A142" s="22"/>
      <c r="B142" s="22"/>
      <c r="C142" s="22"/>
      <c r="D142" s="22"/>
      <c r="E142" s="22"/>
      <c r="F142" s="22"/>
      <c r="G142" s="22"/>
      <c r="H142" s="22"/>
      <c r="I142" s="22"/>
      <c r="J142" s="22"/>
      <c r="K142" s="23"/>
      <c r="L142" s="23"/>
      <c r="M142" s="23"/>
      <c r="N142" s="22"/>
    </row>
    <row r="143" customFormat="false" ht="15" hidden="false" customHeight="false" outlineLevel="0" collapsed="false">
      <c r="A143" s="22"/>
      <c r="B143" s="22"/>
      <c r="C143" s="22"/>
      <c r="D143" s="22"/>
      <c r="E143" s="22"/>
      <c r="F143" s="22"/>
      <c r="G143" s="22"/>
      <c r="H143" s="22"/>
      <c r="I143" s="22"/>
      <c r="J143" s="22"/>
      <c r="K143" s="23"/>
      <c r="L143" s="23"/>
      <c r="M143" s="23"/>
      <c r="N143" s="22"/>
    </row>
    <row r="144" customFormat="false" ht="15" hidden="false" customHeight="false" outlineLevel="0" collapsed="false">
      <c r="A144" s="22"/>
      <c r="B144" s="22"/>
      <c r="C144" s="22"/>
      <c r="D144" s="22"/>
      <c r="E144" s="22"/>
      <c r="F144" s="22"/>
      <c r="G144" s="22"/>
      <c r="H144" s="22"/>
      <c r="I144" s="22"/>
      <c r="J144" s="22"/>
      <c r="K144" s="23"/>
      <c r="L144" s="23"/>
      <c r="M144" s="23"/>
      <c r="N144" s="22"/>
    </row>
    <row r="145" customFormat="false" ht="15" hidden="false" customHeight="false" outlineLevel="0" collapsed="false">
      <c r="A145" s="22"/>
      <c r="B145" s="22"/>
      <c r="C145" s="22"/>
      <c r="D145" s="22"/>
      <c r="E145" s="22"/>
      <c r="F145" s="22"/>
      <c r="G145" s="22"/>
      <c r="H145" s="22"/>
      <c r="I145" s="22"/>
      <c r="J145" s="22"/>
      <c r="K145" s="23"/>
      <c r="L145" s="23"/>
      <c r="M145" s="23"/>
      <c r="N145" s="22"/>
    </row>
    <row r="146" customFormat="false" ht="15" hidden="false" customHeight="false" outlineLevel="0" collapsed="false">
      <c r="A146" s="22"/>
      <c r="B146" s="22"/>
      <c r="C146" s="22"/>
      <c r="D146" s="22"/>
      <c r="E146" s="22"/>
      <c r="F146" s="22"/>
      <c r="G146" s="22"/>
      <c r="H146" s="22"/>
      <c r="I146" s="22"/>
      <c r="J146" s="22"/>
      <c r="K146" s="23"/>
      <c r="L146" s="23"/>
      <c r="M146" s="23"/>
      <c r="N146" s="22"/>
    </row>
    <row r="147" customFormat="false" ht="15" hidden="false" customHeight="false" outlineLevel="0" collapsed="false">
      <c r="A147" s="22"/>
      <c r="B147" s="22"/>
      <c r="C147" s="22"/>
      <c r="D147" s="22"/>
      <c r="E147" s="22"/>
      <c r="F147" s="22"/>
      <c r="G147" s="22"/>
      <c r="H147" s="22"/>
      <c r="I147" s="22"/>
      <c r="J147" s="22"/>
      <c r="K147" s="23"/>
      <c r="L147" s="23"/>
      <c r="M147" s="23"/>
      <c r="N147" s="22"/>
    </row>
    <row r="148" customFormat="false" ht="15" hidden="false" customHeight="false" outlineLevel="0" collapsed="false">
      <c r="A148" s="22"/>
      <c r="B148" s="22"/>
      <c r="C148" s="22"/>
      <c r="D148" s="22"/>
      <c r="E148" s="22"/>
      <c r="F148" s="22"/>
      <c r="G148" s="22"/>
      <c r="H148" s="22"/>
      <c r="I148" s="22"/>
      <c r="J148" s="22"/>
      <c r="K148" s="23"/>
      <c r="L148" s="23"/>
      <c r="M148" s="23"/>
      <c r="N148" s="22"/>
    </row>
    <row r="149" customFormat="false" ht="15" hidden="false" customHeight="false" outlineLevel="0" collapsed="false">
      <c r="A149" s="22"/>
      <c r="B149" s="22"/>
      <c r="C149" s="22"/>
      <c r="D149" s="22"/>
      <c r="E149" s="22"/>
      <c r="F149" s="22"/>
      <c r="G149" s="22"/>
      <c r="H149" s="22"/>
      <c r="I149" s="22"/>
      <c r="J149" s="22"/>
      <c r="K149" s="23"/>
      <c r="L149" s="23"/>
      <c r="M149" s="23"/>
      <c r="N149" s="22"/>
    </row>
    <row r="150" customFormat="false" ht="15" hidden="false" customHeight="false" outlineLevel="0" collapsed="false">
      <c r="A150" s="22"/>
      <c r="B150" s="22"/>
      <c r="C150" s="22"/>
      <c r="D150" s="22"/>
      <c r="E150" s="22"/>
      <c r="F150" s="22"/>
      <c r="G150" s="22"/>
      <c r="H150" s="22"/>
      <c r="I150" s="22"/>
      <c r="J150" s="22"/>
      <c r="K150" s="23"/>
      <c r="L150" s="23"/>
      <c r="M150" s="23"/>
      <c r="N150" s="22"/>
    </row>
    <row r="151" customFormat="false" ht="15" hidden="false" customHeight="false" outlineLevel="0" collapsed="false">
      <c r="A151" s="22"/>
      <c r="B151" s="22"/>
      <c r="C151" s="22"/>
      <c r="D151" s="22"/>
      <c r="E151" s="22"/>
      <c r="F151" s="22"/>
      <c r="G151" s="22"/>
      <c r="H151" s="22"/>
      <c r="I151" s="22"/>
      <c r="J151" s="22"/>
      <c r="K151" s="23"/>
      <c r="L151" s="23"/>
      <c r="M151" s="23"/>
      <c r="N151" s="22"/>
    </row>
    <row r="152" customFormat="false" ht="15" hidden="false" customHeight="false" outlineLevel="0" collapsed="false">
      <c r="A152" s="22"/>
      <c r="B152" s="22"/>
      <c r="C152" s="22"/>
      <c r="D152" s="22"/>
      <c r="E152" s="22"/>
      <c r="F152" s="22"/>
      <c r="G152" s="22"/>
      <c r="H152" s="22"/>
      <c r="I152" s="22"/>
      <c r="J152" s="22"/>
      <c r="K152" s="23"/>
      <c r="L152" s="23"/>
      <c r="M152" s="23"/>
      <c r="N152" s="22"/>
    </row>
    <row r="153" customFormat="false" ht="15" hidden="false" customHeight="false" outlineLevel="0" collapsed="false">
      <c r="A153" s="22"/>
      <c r="B153" s="22"/>
      <c r="C153" s="22"/>
      <c r="D153" s="22"/>
      <c r="E153" s="22"/>
      <c r="F153" s="22"/>
      <c r="G153" s="22"/>
      <c r="H153" s="22"/>
      <c r="I153" s="22"/>
      <c r="J153" s="22"/>
      <c r="K153" s="23"/>
      <c r="L153" s="23"/>
      <c r="M153" s="23"/>
      <c r="N153" s="22"/>
    </row>
    <row r="154" customFormat="false" ht="15" hidden="false" customHeight="false" outlineLevel="0" collapsed="false">
      <c r="A154" s="22"/>
      <c r="B154" s="22"/>
      <c r="C154" s="22"/>
      <c r="D154" s="22"/>
      <c r="E154" s="22"/>
      <c r="F154" s="22"/>
      <c r="G154" s="22"/>
      <c r="H154" s="22"/>
      <c r="I154" s="22"/>
      <c r="J154" s="22"/>
      <c r="K154" s="23"/>
      <c r="L154" s="23"/>
      <c r="M154" s="23"/>
      <c r="N154" s="22"/>
    </row>
    <row r="155" customFormat="false" ht="15" hidden="false" customHeight="false" outlineLevel="0" collapsed="false">
      <c r="A155" s="22"/>
      <c r="B155" s="22"/>
      <c r="C155" s="22"/>
      <c r="D155" s="22"/>
      <c r="E155" s="22"/>
      <c r="F155" s="22"/>
      <c r="G155" s="22"/>
      <c r="H155" s="22"/>
      <c r="I155" s="22"/>
      <c r="J155" s="22"/>
      <c r="K155" s="23"/>
      <c r="L155" s="23"/>
      <c r="M155" s="23"/>
      <c r="N155" s="22"/>
    </row>
    <row r="156" customFormat="false" ht="15" hidden="false" customHeight="false" outlineLevel="0" collapsed="false">
      <c r="A156" s="22"/>
      <c r="B156" s="22"/>
      <c r="C156" s="22"/>
      <c r="D156" s="22"/>
      <c r="E156" s="22"/>
      <c r="F156" s="22"/>
      <c r="G156" s="22"/>
      <c r="H156" s="22"/>
      <c r="I156" s="22"/>
      <c r="J156" s="22"/>
      <c r="K156" s="23"/>
      <c r="L156" s="23"/>
      <c r="M156" s="23"/>
      <c r="N156" s="22"/>
    </row>
    <row r="157" customFormat="false" ht="15" hidden="false" customHeight="false" outlineLevel="0" collapsed="false">
      <c r="A157" s="22"/>
      <c r="B157" s="22"/>
      <c r="C157" s="22"/>
      <c r="D157" s="22"/>
      <c r="E157" s="22"/>
      <c r="F157" s="22"/>
      <c r="G157" s="22"/>
      <c r="H157" s="22"/>
      <c r="I157" s="22"/>
      <c r="J157" s="22"/>
      <c r="K157" s="23"/>
      <c r="L157" s="23"/>
      <c r="M157" s="23"/>
      <c r="N157" s="22"/>
    </row>
    <row r="158" customFormat="false" ht="15" hidden="false" customHeight="false" outlineLevel="0" collapsed="false">
      <c r="A158" s="22"/>
      <c r="B158" s="22"/>
      <c r="C158" s="22"/>
      <c r="D158" s="22"/>
      <c r="E158" s="22"/>
      <c r="F158" s="22"/>
      <c r="G158" s="22"/>
      <c r="H158" s="22"/>
      <c r="I158" s="22"/>
      <c r="J158" s="22"/>
      <c r="K158" s="23"/>
      <c r="L158" s="23"/>
      <c r="M158" s="23"/>
      <c r="N158" s="22"/>
    </row>
    <row r="159" customFormat="false" ht="15" hidden="false" customHeight="false" outlineLevel="0" collapsed="false">
      <c r="A159" s="22"/>
      <c r="B159" s="22"/>
      <c r="C159" s="22"/>
      <c r="D159" s="22"/>
      <c r="E159" s="22"/>
      <c r="F159" s="22"/>
      <c r="G159" s="22"/>
      <c r="H159" s="22"/>
      <c r="I159" s="22"/>
      <c r="J159" s="22"/>
      <c r="K159" s="23"/>
      <c r="L159" s="23"/>
      <c r="M159" s="23"/>
      <c r="N159" s="22"/>
    </row>
    <row r="160" customFormat="false" ht="15" hidden="false" customHeight="false" outlineLevel="0" collapsed="false">
      <c r="A160" s="22"/>
      <c r="B160" s="22"/>
      <c r="C160" s="22"/>
      <c r="D160" s="22"/>
      <c r="E160" s="22"/>
      <c r="F160" s="22"/>
      <c r="G160" s="22"/>
      <c r="H160" s="22"/>
      <c r="I160" s="22"/>
      <c r="J160" s="22"/>
      <c r="K160" s="23"/>
      <c r="L160" s="23"/>
      <c r="M160" s="23"/>
      <c r="N160" s="22"/>
    </row>
    <row r="161" customFormat="false" ht="15" hidden="false" customHeight="false" outlineLevel="0" collapsed="false">
      <c r="A161" s="22"/>
      <c r="B161" s="22"/>
      <c r="C161" s="22"/>
      <c r="D161" s="22"/>
      <c r="E161" s="22"/>
      <c r="F161" s="22"/>
      <c r="G161" s="22"/>
      <c r="H161" s="22"/>
      <c r="I161" s="22"/>
      <c r="J161" s="22"/>
      <c r="K161" s="23"/>
      <c r="L161" s="23"/>
      <c r="M161" s="23"/>
      <c r="N161" s="22"/>
    </row>
    <row r="162" customFormat="false" ht="15" hidden="false" customHeight="false" outlineLevel="0" collapsed="false">
      <c r="A162" s="22"/>
      <c r="B162" s="22"/>
      <c r="C162" s="22"/>
      <c r="D162" s="22"/>
      <c r="E162" s="22"/>
      <c r="F162" s="22"/>
      <c r="G162" s="22"/>
      <c r="H162" s="22"/>
      <c r="I162" s="22"/>
      <c r="J162" s="22"/>
      <c r="K162" s="23"/>
      <c r="L162" s="23"/>
      <c r="M162" s="23"/>
      <c r="N162" s="22"/>
    </row>
    <row r="163" customFormat="false" ht="15" hidden="false" customHeight="false" outlineLevel="0" collapsed="false">
      <c r="A163" s="22"/>
      <c r="B163" s="22"/>
      <c r="C163" s="22"/>
      <c r="D163" s="22"/>
      <c r="E163" s="22"/>
      <c r="F163" s="22"/>
      <c r="G163" s="22"/>
      <c r="H163" s="22"/>
      <c r="I163" s="22"/>
      <c r="J163" s="22"/>
      <c r="K163" s="23"/>
      <c r="L163" s="23"/>
      <c r="M163" s="23"/>
      <c r="N163" s="22"/>
    </row>
    <row r="164" customFormat="false" ht="15" hidden="false" customHeight="false" outlineLevel="0" collapsed="false">
      <c r="A164" s="22"/>
      <c r="B164" s="22"/>
      <c r="C164" s="22"/>
      <c r="D164" s="22"/>
      <c r="E164" s="22"/>
      <c r="F164" s="22"/>
      <c r="G164" s="22"/>
      <c r="H164" s="22"/>
      <c r="I164" s="22"/>
      <c r="J164" s="22"/>
      <c r="K164" s="23"/>
      <c r="L164" s="23"/>
      <c r="M164" s="23"/>
      <c r="N164" s="22"/>
    </row>
    <row r="165" customFormat="false" ht="15" hidden="false" customHeight="false" outlineLevel="0" collapsed="false">
      <c r="A165" s="22"/>
      <c r="B165" s="22"/>
      <c r="C165" s="22"/>
      <c r="D165" s="22"/>
      <c r="E165" s="22"/>
      <c r="F165" s="22"/>
      <c r="G165" s="22"/>
      <c r="H165" s="22"/>
      <c r="I165" s="22"/>
      <c r="J165" s="22"/>
      <c r="K165" s="23"/>
      <c r="L165" s="23"/>
      <c r="M165" s="23"/>
      <c r="N165" s="22"/>
    </row>
    <row r="166" customFormat="false" ht="15" hidden="false" customHeight="false" outlineLevel="0" collapsed="false">
      <c r="A166" s="22"/>
      <c r="B166" s="22"/>
      <c r="C166" s="22"/>
      <c r="D166" s="22"/>
      <c r="E166" s="22"/>
      <c r="F166" s="22"/>
      <c r="G166" s="22"/>
      <c r="H166" s="22"/>
      <c r="I166" s="22"/>
      <c r="J166" s="22"/>
      <c r="K166" s="23"/>
      <c r="L166" s="23"/>
      <c r="M166" s="23"/>
      <c r="N166" s="22"/>
    </row>
    <row r="167" customFormat="false" ht="15" hidden="false" customHeight="false" outlineLevel="0" collapsed="false">
      <c r="A167" s="22"/>
      <c r="B167" s="22"/>
      <c r="C167" s="22"/>
      <c r="D167" s="22"/>
      <c r="E167" s="22"/>
      <c r="F167" s="22"/>
      <c r="G167" s="22"/>
      <c r="H167" s="22"/>
      <c r="I167" s="22"/>
      <c r="J167" s="22"/>
      <c r="K167" s="23"/>
      <c r="L167" s="23"/>
      <c r="M167" s="23"/>
      <c r="N167" s="22"/>
    </row>
    <row r="168" customFormat="false" ht="15" hidden="false" customHeight="false" outlineLevel="0" collapsed="false">
      <c r="A168" s="22"/>
      <c r="B168" s="22"/>
      <c r="C168" s="22"/>
      <c r="D168" s="22"/>
      <c r="E168" s="22"/>
      <c r="F168" s="22"/>
      <c r="G168" s="22"/>
      <c r="H168" s="22"/>
      <c r="I168" s="22"/>
      <c r="J168" s="22"/>
      <c r="K168" s="23"/>
      <c r="L168" s="23"/>
      <c r="M168" s="23"/>
      <c r="N168" s="22"/>
    </row>
    <row r="169" customFormat="false" ht="15" hidden="false" customHeight="false" outlineLevel="0" collapsed="false">
      <c r="A169" s="22"/>
      <c r="B169" s="22"/>
      <c r="C169" s="22"/>
      <c r="D169" s="22"/>
      <c r="E169" s="22"/>
      <c r="F169" s="22"/>
      <c r="G169" s="22"/>
      <c r="H169" s="22"/>
      <c r="I169" s="22"/>
      <c r="J169" s="22"/>
      <c r="K169" s="23"/>
      <c r="L169" s="23"/>
      <c r="M169" s="23"/>
      <c r="N169" s="22"/>
    </row>
    <row r="170" customFormat="false" ht="15" hidden="false" customHeight="false" outlineLevel="0" collapsed="false">
      <c r="A170" s="22"/>
      <c r="B170" s="22"/>
      <c r="C170" s="22"/>
      <c r="D170" s="22"/>
      <c r="E170" s="22"/>
      <c r="F170" s="22"/>
      <c r="G170" s="22"/>
      <c r="H170" s="22"/>
      <c r="I170" s="22"/>
      <c r="J170" s="22"/>
      <c r="K170" s="23"/>
      <c r="L170" s="23"/>
      <c r="M170" s="23"/>
      <c r="N170" s="22"/>
    </row>
    <row r="171" customFormat="false" ht="15" hidden="false" customHeight="false" outlineLevel="0" collapsed="false">
      <c r="A171" s="22"/>
      <c r="B171" s="22"/>
      <c r="C171" s="22"/>
      <c r="D171" s="22"/>
      <c r="E171" s="22"/>
      <c r="F171" s="22"/>
      <c r="G171" s="22"/>
      <c r="H171" s="22"/>
      <c r="I171" s="22"/>
      <c r="J171" s="22"/>
      <c r="K171" s="23"/>
      <c r="L171" s="23"/>
      <c r="M171" s="23"/>
      <c r="N171" s="22"/>
    </row>
    <row r="172" customFormat="false" ht="15" hidden="false" customHeight="false" outlineLevel="0" collapsed="false">
      <c r="A172" s="22"/>
      <c r="B172" s="22"/>
      <c r="C172" s="22"/>
      <c r="D172" s="22"/>
      <c r="E172" s="22"/>
      <c r="F172" s="22"/>
      <c r="G172" s="22"/>
      <c r="H172" s="22"/>
      <c r="I172" s="22"/>
      <c r="J172" s="22"/>
      <c r="K172" s="23"/>
      <c r="L172" s="23"/>
      <c r="M172" s="23"/>
      <c r="N172" s="22"/>
    </row>
    <row r="173" customFormat="false" ht="15" hidden="false" customHeight="false" outlineLevel="0" collapsed="false">
      <c r="A173" s="22"/>
      <c r="B173" s="22"/>
      <c r="C173" s="22"/>
      <c r="D173" s="22"/>
      <c r="E173" s="22"/>
      <c r="F173" s="22"/>
      <c r="G173" s="22"/>
      <c r="H173" s="22"/>
      <c r="I173" s="22"/>
      <c r="J173" s="22"/>
      <c r="K173" s="23"/>
      <c r="L173" s="23"/>
      <c r="M173" s="23"/>
      <c r="N173" s="22"/>
    </row>
    <row r="174" customFormat="false" ht="15" hidden="false" customHeight="false" outlineLevel="0" collapsed="false">
      <c r="A174" s="22"/>
      <c r="B174" s="22"/>
      <c r="C174" s="22"/>
      <c r="D174" s="22"/>
      <c r="E174" s="22"/>
      <c r="F174" s="22"/>
      <c r="G174" s="22"/>
      <c r="H174" s="22"/>
      <c r="I174" s="22"/>
      <c r="J174" s="22"/>
      <c r="K174" s="23"/>
      <c r="L174" s="23"/>
      <c r="M174" s="23"/>
      <c r="N174" s="22"/>
    </row>
    <row r="175" customFormat="false" ht="15" hidden="false" customHeight="false" outlineLevel="0" collapsed="false">
      <c r="A175" s="22"/>
      <c r="B175" s="22"/>
      <c r="C175" s="22"/>
      <c r="D175" s="22"/>
      <c r="E175" s="22"/>
      <c r="F175" s="22"/>
      <c r="G175" s="22"/>
      <c r="H175" s="22"/>
      <c r="I175" s="22"/>
      <c r="J175" s="22"/>
      <c r="K175" s="23"/>
      <c r="L175" s="23"/>
      <c r="M175" s="23"/>
      <c r="N175" s="22"/>
    </row>
    <row r="176" customFormat="false" ht="15" hidden="false" customHeight="false" outlineLevel="0" collapsed="false">
      <c r="A176" s="22"/>
      <c r="B176" s="22"/>
      <c r="C176" s="22"/>
      <c r="D176" s="22"/>
      <c r="E176" s="22"/>
      <c r="F176" s="22"/>
      <c r="G176" s="22"/>
      <c r="H176" s="22"/>
      <c r="I176" s="22"/>
      <c r="J176" s="22"/>
      <c r="K176" s="23"/>
      <c r="L176" s="23"/>
      <c r="M176" s="23"/>
      <c r="N176" s="22"/>
    </row>
    <row r="177" customFormat="false" ht="15" hidden="false" customHeight="false" outlineLevel="0" collapsed="false">
      <c r="A177" s="22"/>
      <c r="B177" s="22"/>
      <c r="C177" s="22"/>
      <c r="D177" s="22"/>
      <c r="E177" s="22"/>
      <c r="F177" s="22"/>
      <c r="G177" s="22"/>
      <c r="H177" s="22"/>
      <c r="I177" s="22"/>
      <c r="J177" s="22"/>
      <c r="K177" s="23"/>
      <c r="L177" s="23"/>
      <c r="M177" s="23"/>
      <c r="N177" s="22"/>
    </row>
    <row r="178" customFormat="false" ht="15" hidden="false" customHeight="false" outlineLevel="0" collapsed="false">
      <c r="A178" s="22"/>
      <c r="B178" s="22"/>
      <c r="C178" s="22"/>
      <c r="D178" s="22"/>
      <c r="E178" s="22"/>
      <c r="F178" s="22"/>
      <c r="G178" s="22"/>
      <c r="H178" s="22"/>
      <c r="I178" s="22"/>
      <c r="J178" s="22"/>
      <c r="K178" s="23"/>
      <c r="L178" s="23"/>
      <c r="M178" s="23"/>
      <c r="N178" s="22"/>
    </row>
    <row r="179" customFormat="false" ht="15" hidden="false" customHeight="false" outlineLevel="0" collapsed="false">
      <c r="A179" s="22"/>
      <c r="B179" s="22"/>
      <c r="C179" s="22"/>
      <c r="D179" s="22"/>
      <c r="E179" s="22"/>
      <c r="F179" s="22"/>
      <c r="G179" s="22"/>
      <c r="H179" s="22"/>
      <c r="I179" s="22"/>
      <c r="J179" s="22"/>
      <c r="K179" s="23"/>
      <c r="L179" s="23"/>
      <c r="M179" s="23"/>
      <c r="N179" s="22"/>
    </row>
    <row r="180" customFormat="false" ht="15" hidden="false" customHeight="false" outlineLevel="0" collapsed="false">
      <c r="A180" s="22"/>
      <c r="B180" s="22"/>
      <c r="C180" s="22"/>
      <c r="D180" s="22"/>
      <c r="E180" s="22"/>
      <c r="F180" s="22"/>
      <c r="G180" s="22"/>
      <c r="H180" s="22"/>
      <c r="I180" s="22"/>
      <c r="J180" s="22"/>
      <c r="K180" s="23"/>
      <c r="L180" s="23"/>
      <c r="M180" s="23"/>
      <c r="N180" s="22"/>
    </row>
    <row r="181" customFormat="false" ht="15" hidden="false" customHeight="false" outlineLevel="0" collapsed="false">
      <c r="A181" s="22"/>
      <c r="B181" s="22"/>
      <c r="C181" s="22"/>
      <c r="D181" s="22"/>
      <c r="E181" s="22"/>
      <c r="F181" s="22"/>
      <c r="G181" s="22"/>
      <c r="H181" s="22"/>
      <c r="I181" s="22"/>
      <c r="J181" s="22"/>
      <c r="K181" s="23"/>
      <c r="L181" s="23"/>
      <c r="M181" s="23"/>
      <c r="N181" s="22"/>
    </row>
    <row r="182" customFormat="false" ht="15" hidden="false" customHeight="false" outlineLevel="0" collapsed="false">
      <c r="A182" s="22"/>
      <c r="B182" s="22"/>
      <c r="C182" s="22"/>
      <c r="D182" s="22"/>
      <c r="E182" s="22"/>
      <c r="F182" s="22"/>
      <c r="G182" s="22"/>
      <c r="H182" s="22"/>
      <c r="I182" s="22"/>
      <c r="J182" s="22"/>
      <c r="K182" s="23"/>
      <c r="L182" s="23"/>
      <c r="M182" s="23"/>
      <c r="N182" s="22"/>
    </row>
    <row r="183" customFormat="false" ht="15" hidden="false" customHeight="false" outlineLevel="0" collapsed="false">
      <c r="A183" s="22"/>
      <c r="B183" s="22"/>
      <c r="C183" s="22"/>
      <c r="D183" s="22"/>
      <c r="E183" s="22"/>
      <c r="F183" s="22"/>
      <c r="G183" s="22"/>
      <c r="H183" s="22"/>
      <c r="I183" s="22"/>
      <c r="J183" s="22"/>
      <c r="K183" s="23"/>
      <c r="L183" s="23"/>
      <c r="M183" s="23"/>
      <c r="N183" s="22"/>
    </row>
    <row r="184" customFormat="false" ht="15" hidden="false" customHeight="false" outlineLevel="0" collapsed="false">
      <c r="A184" s="22"/>
      <c r="B184" s="22"/>
      <c r="C184" s="22"/>
      <c r="D184" s="22"/>
      <c r="E184" s="22"/>
      <c r="F184" s="22"/>
      <c r="G184" s="22"/>
      <c r="H184" s="22"/>
      <c r="I184" s="22"/>
      <c r="J184" s="22"/>
      <c r="K184" s="23"/>
      <c r="L184" s="23"/>
      <c r="M184" s="23"/>
      <c r="N184" s="22"/>
    </row>
    <row r="185" customFormat="false" ht="15" hidden="false" customHeight="false" outlineLevel="0" collapsed="false">
      <c r="A185" s="22"/>
      <c r="B185" s="22"/>
      <c r="C185" s="22"/>
      <c r="D185" s="22"/>
      <c r="E185" s="22"/>
      <c r="F185" s="22"/>
      <c r="G185" s="22"/>
      <c r="H185" s="22"/>
      <c r="I185" s="22"/>
      <c r="J185" s="22"/>
      <c r="K185" s="23"/>
      <c r="L185" s="23"/>
      <c r="M185" s="23"/>
      <c r="N185" s="22"/>
    </row>
    <row r="186" customFormat="false" ht="15" hidden="false" customHeight="false" outlineLevel="0" collapsed="false">
      <c r="A186" s="22"/>
      <c r="B186" s="22"/>
      <c r="C186" s="22"/>
      <c r="D186" s="22"/>
      <c r="E186" s="22"/>
      <c r="F186" s="22"/>
      <c r="G186" s="22"/>
      <c r="H186" s="22"/>
      <c r="I186" s="22"/>
      <c r="J186" s="22"/>
      <c r="K186" s="23"/>
      <c r="L186" s="23"/>
      <c r="M186" s="23"/>
      <c r="N186" s="22"/>
    </row>
    <row r="187" customFormat="false" ht="15" hidden="false" customHeight="false" outlineLevel="0" collapsed="false">
      <c r="A187" s="22"/>
      <c r="B187" s="22"/>
      <c r="C187" s="22"/>
      <c r="D187" s="22"/>
      <c r="E187" s="22"/>
      <c r="F187" s="22"/>
      <c r="G187" s="22"/>
      <c r="H187" s="22"/>
      <c r="I187" s="22"/>
      <c r="J187" s="22"/>
      <c r="K187" s="23"/>
      <c r="L187" s="23"/>
      <c r="M187" s="23"/>
      <c r="N187" s="22"/>
    </row>
    <row r="188" customFormat="false" ht="15" hidden="false" customHeight="false" outlineLevel="0" collapsed="false">
      <c r="A188" s="22"/>
      <c r="B188" s="22"/>
      <c r="C188" s="22"/>
      <c r="D188" s="22"/>
      <c r="E188" s="22"/>
      <c r="F188" s="22"/>
      <c r="G188" s="22"/>
      <c r="H188" s="22"/>
      <c r="I188" s="22"/>
      <c r="J188" s="22"/>
      <c r="K188" s="23"/>
      <c r="L188" s="23"/>
      <c r="M188" s="23"/>
      <c r="N188" s="22"/>
    </row>
    <row r="189" customFormat="false" ht="15" hidden="false" customHeight="false" outlineLevel="0" collapsed="false">
      <c r="A189" s="22"/>
      <c r="B189" s="22"/>
      <c r="C189" s="22"/>
      <c r="D189" s="22"/>
      <c r="E189" s="22"/>
      <c r="F189" s="22"/>
      <c r="G189" s="22"/>
      <c r="H189" s="22"/>
      <c r="I189" s="22"/>
      <c r="J189" s="22"/>
      <c r="K189" s="23"/>
      <c r="L189" s="23"/>
      <c r="M189" s="23"/>
      <c r="N189" s="22"/>
    </row>
    <row r="190" customFormat="false" ht="15" hidden="false" customHeight="false" outlineLevel="0" collapsed="false">
      <c r="A190" s="22"/>
      <c r="B190" s="22"/>
      <c r="C190" s="22"/>
      <c r="D190" s="22"/>
      <c r="E190" s="22"/>
      <c r="F190" s="22"/>
      <c r="G190" s="22"/>
      <c r="H190" s="22"/>
      <c r="I190" s="22"/>
      <c r="J190" s="22"/>
      <c r="K190" s="23"/>
      <c r="L190" s="23"/>
      <c r="M190" s="23"/>
      <c r="N190" s="22"/>
    </row>
    <row r="191" customFormat="false" ht="15" hidden="false" customHeight="false" outlineLevel="0" collapsed="false">
      <c r="A191" s="22"/>
      <c r="B191" s="22"/>
      <c r="C191" s="22"/>
      <c r="D191" s="22"/>
      <c r="E191" s="22"/>
      <c r="F191" s="22"/>
      <c r="G191" s="22"/>
      <c r="H191" s="22"/>
      <c r="I191" s="22"/>
      <c r="J191" s="22"/>
      <c r="K191" s="23"/>
      <c r="L191" s="23"/>
      <c r="M191" s="23"/>
      <c r="N191" s="22"/>
    </row>
    <row r="192" customFormat="false" ht="15" hidden="false" customHeight="false" outlineLevel="0" collapsed="false">
      <c r="A192" s="22"/>
      <c r="B192" s="22"/>
      <c r="C192" s="22"/>
      <c r="D192" s="22"/>
      <c r="E192" s="22"/>
      <c r="F192" s="22"/>
      <c r="G192" s="22"/>
      <c r="H192" s="22"/>
      <c r="I192" s="22"/>
      <c r="J192" s="22"/>
      <c r="K192" s="23"/>
      <c r="L192" s="23"/>
      <c r="M192" s="23"/>
      <c r="N192" s="22"/>
    </row>
    <row r="193" customFormat="false" ht="15" hidden="false" customHeight="false" outlineLevel="0" collapsed="false">
      <c r="A193" s="22"/>
      <c r="B193" s="22"/>
      <c r="C193" s="22"/>
      <c r="D193" s="22"/>
      <c r="E193" s="22"/>
      <c r="F193" s="22"/>
      <c r="G193" s="22"/>
      <c r="H193" s="22"/>
      <c r="I193" s="22"/>
      <c r="J193" s="22"/>
      <c r="K193" s="23"/>
      <c r="L193" s="23"/>
      <c r="M193" s="23"/>
      <c r="N193" s="22"/>
    </row>
    <row r="194" customFormat="false" ht="15" hidden="false" customHeight="false" outlineLevel="0" collapsed="false">
      <c r="A194" s="22"/>
      <c r="B194" s="22"/>
      <c r="C194" s="22"/>
      <c r="D194" s="22"/>
      <c r="E194" s="22"/>
      <c r="F194" s="22"/>
      <c r="G194" s="22"/>
      <c r="H194" s="22"/>
      <c r="I194" s="22"/>
      <c r="J194" s="22"/>
      <c r="K194" s="23"/>
      <c r="L194" s="23"/>
      <c r="M194" s="23"/>
      <c r="N194" s="22"/>
    </row>
    <row r="195" customFormat="false" ht="15" hidden="false" customHeight="false" outlineLevel="0" collapsed="false">
      <c r="A195" s="22"/>
      <c r="B195" s="22"/>
      <c r="C195" s="22"/>
      <c r="D195" s="22"/>
      <c r="E195" s="22"/>
      <c r="F195" s="22"/>
      <c r="G195" s="22"/>
      <c r="H195" s="22"/>
      <c r="I195" s="22"/>
      <c r="J195" s="22"/>
      <c r="K195" s="23"/>
      <c r="L195" s="23"/>
      <c r="M195" s="23"/>
      <c r="N195" s="22"/>
    </row>
    <row r="196" customFormat="false" ht="15" hidden="false" customHeight="false" outlineLevel="0" collapsed="false">
      <c r="A196" s="22"/>
      <c r="B196" s="22"/>
      <c r="C196" s="22"/>
      <c r="D196" s="22"/>
      <c r="E196" s="22"/>
      <c r="F196" s="22"/>
      <c r="G196" s="22"/>
      <c r="H196" s="22"/>
      <c r="I196" s="22"/>
      <c r="J196" s="22"/>
      <c r="K196" s="23"/>
      <c r="L196" s="23"/>
      <c r="M196" s="23"/>
      <c r="N196" s="22"/>
    </row>
    <row r="197" customFormat="false" ht="15" hidden="false" customHeight="false" outlineLevel="0" collapsed="false">
      <c r="A197" s="22"/>
      <c r="B197" s="22"/>
      <c r="C197" s="22"/>
      <c r="D197" s="22"/>
      <c r="E197" s="22"/>
      <c r="F197" s="22"/>
      <c r="G197" s="22"/>
      <c r="H197" s="22"/>
      <c r="I197" s="22"/>
      <c r="J197" s="22"/>
      <c r="K197" s="23"/>
      <c r="L197" s="23"/>
      <c r="M197" s="23"/>
      <c r="N197" s="22"/>
    </row>
    <row r="198" customFormat="false" ht="15" hidden="false" customHeight="false" outlineLevel="0" collapsed="false">
      <c r="A198" s="22"/>
      <c r="B198" s="22"/>
      <c r="C198" s="22"/>
      <c r="D198" s="22"/>
      <c r="E198" s="22"/>
      <c r="F198" s="22"/>
      <c r="G198" s="22"/>
      <c r="H198" s="22"/>
      <c r="I198" s="22"/>
      <c r="J198" s="22"/>
      <c r="K198" s="23"/>
      <c r="L198" s="23"/>
      <c r="M198" s="23"/>
      <c r="N198" s="22"/>
    </row>
    <row r="199" customFormat="false" ht="15" hidden="false" customHeight="false" outlineLevel="0" collapsed="false">
      <c r="A199" s="22"/>
      <c r="B199" s="22"/>
      <c r="C199" s="22"/>
      <c r="D199" s="22"/>
      <c r="E199" s="22"/>
      <c r="F199" s="22"/>
      <c r="G199" s="22"/>
      <c r="H199" s="22"/>
      <c r="I199" s="22"/>
      <c r="J199" s="22"/>
      <c r="K199" s="23"/>
      <c r="L199" s="23"/>
      <c r="M199" s="23"/>
      <c r="N199" s="22"/>
    </row>
    <row r="200" customFormat="false" ht="15" hidden="false" customHeight="false" outlineLevel="0" collapsed="false">
      <c r="A200" s="22"/>
      <c r="B200" s="22"/>
      <c r="C200" s="22"/>
      <c r="D200" s="22"/>
      <c r="E200" s="22"/>
      <c r="F200" s="22"/>
      <c r="G200" s="22"/>
      <c r="H200" s="22"/>
      <c r="I200" s="22"/>
      <c r="J200" s="22"/>
      <c r="K200" s="23"/>
      <c r="L200" s="23"/>
      <c r="M200" s="23"/>
      <c r="N200" s="22"/>
    </row>
    <row r="201" customFormat="false" ht="15" hidden="false" customHeight="false" outlineLevel="0" collapsed="false">
      <c r="A201" s="22"/>
      <c r="B201" s="22"/>
      <c r="C201" s="22"/>
      <c r="D201" s="22"/>
      <c r="E201" s="22"/>
      <c r="F201" s="22"/>
      <c r="G201" s="22"/>
      <c r="H201" s="22"/>
      <c r="I201" s="22"/>
      <c r="J201" s="22"/>
      <c r="K201" s="23"/>
      <c r="L201" s="23"/>
      <c r="M201" s="23"/>
      <c r="N201" s="22"/>
    </row>
    <row r="202" customFormat="false" ht="15" hidden="false" customHeight="false" outlineLevel="0" collapsed="false">
      <c r="A202" s="22"/>
      <c r="B202" s="22"/>
      <c r="C202" s="22"/>
      <c r="D202" s="22"/>
      <c r="E202" s="22"/>
      <c r="F202" s="22"/>
      <c r="G202" s="22"/>
      <c r="H202" s="22"/>
      <c r="I202" s="22"/>
      <c r="J202" s="22"/>
      <c r="K202" s="23"/>
      <c r="L202" s="23"/>
      <c r="M202" s="23"/>
      <c r="N202" s="22"/>
    </row>
    <row r="203" customFormat="false" ht="15" hidden="false" customHeight="false" outlineLevel="0" collapsed="false">
      <c r="A203" s="22"/>
      <c r="B203" s="22"/>
      <c r="C203" s="22"/>
      <c r="D203" s="22"/>
      <c r="E203" s="22"/>
      <c r="F203" s="22"/>
      <c r="G203" s="22"/>
      <c r="H203" s="22"/>
      <c r="I203" s="22"/>
      <c r="J203" s="22"/>
      <c r="K203" s="23"/>
      <c r="L203" s="23"/>
      <c r="M203" s="23"/>
      <c r="N203" s="22"/>
    </row>
    <row r="204" customFormat="false" ht="15" hidden="false" customHeight="false" outlineLevel="0" collapsed="false">
      <c r="A204" s="22"/>
      <c r="B204" s="22"/>
      <c r="C204" s="22"/>
      <c r="D204" s="22"/>
      <c r="E204" s="22"/>
      <c r="F204" s="22"/>
      <c r="G204" s="22"/>
      <c r="H204" s="22"/>
      <c r="I204" s="22"/>
      <c r="J204" s="22"/>
      <c r="K204" s="23"/>
      <c r="L204" s="23"/>
      <c r="M204" s="23"/>
      <c r="N204" s="22"/>
    </row>
    <row r="205" customFormat="false" ht="15" hidden="false" customHeight="false" outlineLevel="0" collapsed="false">
      <c r="A205" s="22"/>
      <c r="B205" s="22"/>
      <c r="C205" s="22"/>
      <c r="D205" s="22"/>
      <c r="E205" s="22"/>
      <c r="F205" s="22"/>
      <c r="G205" s="22"/>
      <c r="H205" s="22"/>
      <c r="I205" s="22"/>
      <c r="J205" s="22"/>
      <c r="K205" s="23"/>
      <c r="L205" s="23"/>
      <c r="M205" s="23"/>
      <c r="N205" s="22"/>
    </row>
    <row r="206" customFormat="false" ht="15" hidden="false" customHeight="false" outlineLevel="0" collapsed="false">
      <c r="A206" s="22"/>
      <c r="B206" s="22"/>
      <c r="C206" s="22"/>
      <c r="D206" s="22"/>
      <c r="E206" s="22"/>
      <c r="F206" s="22"/>
      <c r="G206" s="22"/>
      <c r="H206" s="22"/>
      <c r="I206" s="22"/>
      <c r="J206" s="22"/>
      <c r="K206" s="23"/>
      <c r="L206" s="23"/>
      <c r="M206" s="23"/>
      <c r="N206" s="22"/>
    </row>
    <row r="207" customFormat="false" ht="15" hidden="false" customHeight="false" outlineLevel="0" collapsed="false">
      <c r="A207" s="22"/>
      <c r="B207" s="22"/>
      <c r="C207" s="22"/>
      <c r="D207" s="22"/>
      <c r="E207" s="22"/>
      <c r="F207" s="22"/>
      <c r="G207" s="22"/>
      <c r="H207" s="22"/>
      <c r="I207" s="22"/>
      <c r="J207" s="22"/>
      <c r="K207" s="23"/>
      <c r="L207" s="23"/>
      <c r="M207" s="23"/>
      <c r="N207" s="22"/>
    </row>
    <row r="208" customFormat="false" ht="15" hidden="false" customHeight="false" outlineLevel="0" collapsed="false">
      <c r="A208" s="22"/>
      <c r="B208" s="22"/>
      <c r="C208" s="22"/>
      <c r="D208" s="22"/>
      <c r="E208" s="22"/>
      <c r="F208" s="22"/>
      <c r="G208" s="22"/>
      <c r="H208" s="22"/>
      <c r="I208" s="22"/>
      <c r="J208" s="22"/>
      <c r="K208" s="23"/>
      <c r="L208" s="23"/>
      <c r="M208" s="23"/>
      <c r="N208" s="22"/>
    </row>
    <row r="209" customFormat="false" ht="15" hidden="false" customHeight="false" outlineLevel="0" collapsed="false">
      <c r="A209" s="22"/>
      <c r="B209" s="22"/>
      <c r="C209" s="22"/>
      <c r="D209" s="22"/>
      <c r="E209" s="22"/>
      <c r="F209" s="22"/>
      <c r="G209" s="22"/>
      <c r="H209" s="22"/>
      <c r="I209" s="22"/>
      <c r="J209" s="22"/>
      <c r="K209" s="23"/>
      <c r="L209" s="23"/>
      <c r="M209" s="23"/>
      <c r="N209" s="22"/>
    </row>
    <row r="210" customFormat="false" ht="15" hidden="false" customHeight="false" outlineLevel="0" collapsed="false">
      <c r="A210" s="22"/>
      <c r="B210" s="22"/>
      <c r="C210" s="22"/>
      <c r="D210" s="22"/>
      <c r="E210" s="22"/>
      <c r="F210" s="22"/>
      <c r="G210" s="22"/>
      <c r="H210" s="22"/>
      <c r="I210" s="22"/>
      <c r="J210" s="22"/>
      <c r="K210" s="23"/>
      <c r="L210" s="23"/>
      <c r="M210" s="23"/>
      <c r="N210" s="22"/>
    </row>
    <row r="211" customFormat="false" ht="15" hidden="false" customHeight="false" outlineLevel="0" collapsed="false">
      <c r="A211" s="22"/>
      <c r="B211" s="22"/>
      <c r="C211" s="22"/>
      <c r="D211" s="22"/>
      <c r="E211" s="22"/>
      <c r="F211" s="22"/>
      <c r="G211" s="22"/>
      <c r="H211" s="22"/>
      <c r="I211" s="22"/>
      <c r="J211" s="22"/>
      <c r="K211" s="23"/>
      <c r="L211" s="23"/>
      <c r="M211" s="23"/>
      <c r="N211" s="22"/>
    </row>
    <row r="212" customFormat="false" ht="15" hidden="false" customHeight="false" outlineLevel="0" collapsed="false">
      <c r="A212" s="22"/>
      <c r="B212" s="22"/>
      <c r="C212" s="22"/>
      <c r="D212" s="22"/>
      <c r="E212" s="22"/>
      <c r="F212" s="22"/>
      <c r="G212" s="22"/>
      <c r="H212" s="22"/>
      <c r="I212" s="22"/>
      <c r="J212" s="22"/>
      <c r="K212" s="23"/>
      <c r="L212" s="23"/>
      <c r="M212" s="23"/>
      <c r="N212" s="22"/>
    </row>
    <row r="213" customFormat="false" ht="15" hidden="false" customHeight="false" outlineLevel="0" collapsed="false">
      <c r="A213" s="22"/>
      <c r="B213" s="22"/>
      <c r="C213" s="22"/>
      <c r="D213" s="22"/>
      <c r="E213" s="22"/>
      <c r="F213" s="22"/>
      <c r="G213" s="22"/>
      <c r="H213" s="22"/>
      <c r="I213" s="22"/>
      <c r="J213" s="22"/>
      <c r="K213" s="23"/>
      <c r="L213" s="23"/>
      <c r="M213" s="23"/>
      <c r="N213" s="22"/>
    </row>
    <row r="214" customFormat="false" ht="15" hidden="false" customHeight="false" outlineLevel="0" collapsed="false">
      <c r="A214" s="22"/>
      <c r="B214" s="22"/>
      <c r="C214" s="22"/>
      <c r="D214" s="22"/>
      <c r="E214" s="22"/>
      <c r="F214" s="22"/>
      <c r="G214" s="22"/>
      <c r="H214" s="22"/>
      <c r="I214" s="22"/>
      <c r="J214" s="22"/>
      <c r="K214" s="23"/>
      <c r="L214" s="23"/>
      <c r="M214" s="23"/>
      <c r="N214" s="22"/>
    </row>
    <row r="215" customFormat="false" ht="15" hidden="false" customHeight="false" outlineLevel="0" collapsed="false">
      <c r="A215" s="22"/>
      <c r="B215" s="22"/>
      <c r="C215" s="22"/>
      <c r="D215" s="22"/>
      <c r="E215" s="22"/>
      <c r="F215" s="22"/>
      <c r="G215" s="22"/>
      <c r="H215" s="22"/>
      <c r="I215" s="22"/>
      <c r="J215" s="22"/>
      <c r="K215" s="23"/>
      <c r="L215" s="23"/>
      <c r="M215" s="23"/>
      <c r="N215" s="22"/>
    </row>
    <row r="216" customFormat="false" ht="15" hidden="false" customHeight="false" outlineLevel="0" collapsed="false">
      <c r="A216" s="22"/>
      <c r="B216" s="22"/>
      <c r="C216" s="22"/>
      <c r="D216" s="22"/>
      <c r="E216" s="22"/>
      <c r="F216" s="22"/>
      <c r="G216" s="22"/>
      <c r="H216" s="22"/>
      <c r="I216" s="22"/>
      <c r="J216" s="22"/>
      <c r="K216" s="23"/>
      <c r="L216" s="23"/>
      <c r="M216" s="23"/>
      <c r="N216" s="22"/>
    </row>
    <row r="217" customFormat="false" ht="15" hidden="false" customHeight="false" outlineLevel="0" collapsed="false">
      <c r="A217" s="22"/>
      <c r="B217" s="22"/>
      <c r="C217" s="22"/>
      <c r="D217" s="22"/>
      <c r="E217" s="22"/>
      <c r="F217" s="22"/>
      <c r="G217" s="22"/>
      <c r="H217" s="22"/>
      <c r="I217" s="22"/>
      <c r="J217" s="22"/>
      <c r="K217" s="23"/>
      <c r="L217" s="23"/>
      <c r="M217" s="23"/>
      <c r="N217" s="22"/>
    </row>
    <row r="218" customFormat="false" ht="15" hidden="false" customHeight="false" outlineLevel="0" collapsed="false">
      <c r="A218" s="22"/>
      <c r="B218" s="22"/>
      <c r="C218" s="22"/>
      <c r="D218" s="22"/>
      <c r="E218" s="22"/>
      <c r="F218" s="22"/>
      <c r="G218" s="22"/>
      <c r="H218" s="22"/>
      <c r="I218" s="22"/>
      <c r="J218" s="22"/>
      <c r="K218" s="23"/>
      <c r="L218" s="23"/>
      <c r="M218" s="23"/>
      <c r="N218" s="22"/>
    </row>
    <row r="219" customFormat="false" ht="15" hidden="false" customHeight="false" outlineLevel="0" collapsed="false">
      <c r="A219" s="22"/>
      <c r="B219" s="22"/>
      <c r="C219" s="22"/>
      <c r="D219" s="22"/>
      <c r="E219" s="22"/>
      <c r="F219" s="22"/>
      <c r="G219" s="22"/>
      <c r="H219" s="22"/>
      <c r="I219" s="22"/>
      <c r="J219" s="22"/>
      <c r="K219" s="23"/>
      <c r="L219" s="23"/>
      <c r="M219" s="23"/>
      <c r="N219" s="22"/>
    </row>
    <row r="220" customFormat="false" ht="15" hidden="false" customHeight="false" outlineLevel="0" collapsed="false">
      <c r="A220" s="22"/>
      <c r="B220" s="22"/>
      <c r="C220" s="22"/>
      <c r="D220" s="22"/>
      <c r="E220" s="22"/>
      <c r="F220" s="22"/>
      <c r="G220" s="22"/>
      <c r="H220" s="22"/>
      <c r="I220" s="22"/>
      <c r="J220" s="22"/>
      <c r="K220" s="23"/>
      <c r="L220" s="23"/>
      <c r="M220" s="23"/>
      <c r="N220" s="22"/>
    </row>
    <row r="221" customFormat="false" ht="15" hidden="false" customHeight="false" outlineLevel="0" collapsed="false">
      <c r="A221" s="22"/>
      <c r="B221" s="22"/>
      <c r="C221" s="22"/>
      <c r="D221" s="22"/>
      <c r="E221" s="22"/>
      <c r="F221" s="22"/>
      <c r="G221" s="22"/>
      <c r="H221" s="22"/>
      <c r="I221" s="22"/>
      <c r="J221" s="22"/>
      <c r="K221" s="23"/>
      <c r="L221" s="23"/>
      <c r="M221" s="23"/>
      <c r="N221" s="22"/>
    </row>
    <row r="222" customFormat="false" ht="15" hidden="false" customHeight="false" outlineLevel="0" collapsed="false">
      <c r="A222" s="22"/>
      <c r="B222" s="22"/>
      <c r="C222" s="22"/>
      <c r="D222" s="22"/>
      <c r="E222" s="22"/>
      <c r="F222" s="22"/>
      <c r="G222" s="22"/>
      <c r="H222" s="22"/>
      <c r="I222" s="22"/>
      <c r="J222" s="22"/>
      <c r="K222" s="23"/>
      <c r="L222" s="23"/>
      <c r="M222" s="23"/>
      <c r="N222" s="22"/>
    </row>
    <row r="223" customFormat="false" ht="15" hidden="false" customHeight="false" outlineLevel="0" collapsed="false">
      <c r="A223" s="22"/>
      <c r="B223" s="22"/>
      <c r="C223" s="22"/>
      <c r="D223" s="22"/>
      <c r="E223" s="22"/>
      <c r="F223" s="22"/>
      <c r="G223" s="22"/>
      <c r="H223" s="22"/>
      <c r="I223" s="22"/>
      <c r="J223" s="22"/>
      <c r="K223" s="23"/>
      <c r="L223" s="23"/>
      <c r="M223" s="23"/>
      <c r="N223" s="22"/>
    </row>
    <row r="224" customFormat="false" ht="15" hidden="false" customHeight="false" outlineLevel="0" collapsed="false">
      <c r="A224" s="22"/>
      <c r="B224" s="22"/>
      <c r="C224" s="22"/>
      <c r="D224" s="22"/>
      <c r="E224" s="22"/>
      <c r="F224" s="22"/>
      <c r="G224" s="22"/>
      <c r="H224" s="22"/>
      <c r="I224" s="22"/>
      <c r="J224" s="22"/>
      <c r="K224" s="23"/>
      <c r="L224" s="23"/>
      <c r="M224" s="23"/>
      <c r="N224" s="22"/>
    </row>
    <row r="225" customFormat="false" ht="15" hidden="false" customHeight="false" outlineLevel="0" collapsed="false">
      <c r="A225" s="22"/>
      <c r="B225" s="22"/>
      <c r="C225" s="22"/>
      <c r="D225" s="22"/>
      <c r="E225" s="22"/>
      <c r="F225" s="22"/>
      <c r="G225" s="22"/>
      <c r="H225" s="22"/>
      <c r="I225" s="22"/>
      <c r="J225" s="22"/>
      <c r="K225" s="23"/>
      <c r="L225" s="23"/>
      <c r="M225" s="23"/>
      <c r="N225" s="22"/>
    </row>
    <row r="226" customFormat="false" ht="15" hidden="false" customHeight="false" outlineLevel="0" collapsed="false">
      <c r="A226" s="22"/>
      <c r="B226" s="22"/>
      <c r="C226" s="22"/>
      <c r="D226" s="22"/>
      <c r="E226" s="22"/>
      <c r="F226" s="22"/>
      <c r="G226" s="22"/>
      <c r="H226" s="22"/>
      <c r="I226" s="22"/>
      <c r="J226" s="22"/>
      <c r="K226" s="23"/>
      <c r="L226" s="23"/>
      <c r="M226" s="23"/>
      <c r="N226" s="22"/>
    </row>
    <row r="227" customFormat="false" ht="15" hidden="false" customHeight="false" outlineLevel="0" collapsed="false">
      <c r="A227" s="22"/>
      <c r="B227" s="22"/>
      <c r="C227" s="22"/>
      <c r="D227" s="22"/>
      <c r="E227" s="22"/>
      <c r="F227" s="22"/>
      <c r="G227" s="22"/>
      <c r="H227" s="22"/>
      <c r="I227" s="22"/>
      <c r="J227" s="22"/>
      <c r="K227" s="23"/>
      <c r="L227" s="23"/>
      <c r="M227" s="23"/>
      <c r="N227" s="22"/>
    </row>
    <row r="228" customFormat="false" ht="15" hidden="false" customHeight="false" outlineLevel="0" collapsed="false">
      <c r="A228" s="22"/>
      <c r="B228" s="22"/>
      <c r="C228" s="22"/>
      <c r="D228" s="22"/>
      <c r="E228" s="22"/>
      <c r="F228" s="22"/>
      <c r="G228" s="22"/>
      <c r="H228" s="22"/>
      <c r="I228" s="22"/>
      <c r="J228" s="22"/>
      <c r="K228" s="23"/>
      <c r="L228" s="23"/>
      <c r="M228" s="23"/>
      <c r="N228" s="22"/>
    </row>
    <row r="229" customFormat="false" ht="15" hidden="false" customHeight="false" outlineLevel="0" collapsed="false">
      <c r="A229" s="22"/>
      <c r="B229" s="22"/>
      <c r="C229" s="22"/>
      <c r="D229" s="22"/>
      <c r="E229" s="22"/>
      <c r="F229" s="22"/>
      <c r="G229" s="22"/>
      <c r="H229" s="22"/>
      <c r="I229" s="22"/>
      <c r="J229" s="22"/>
      <c r="K229" s="23"/>
      <c r="L229" s="23"/>
      <c r="M229" s="23"/>
      <c r="N229" s="22"/>
    </row>
    <row r="230" customFormat="false" ht="15" hidden="false" customHeight="false" outlineLevel="0" collapsed="false">
      <c r="A230" s="22"/>
      <c r="B230" s="22"/>
      <c r="C230" s="22"/>
      <c r="D230" s="22"/>
      <c r="E230" s="22"/>
      <c r="F230" s="22"/>
      <c r="G230" s="22"/>
      <c r="H230" s="22"/>
      <c r="I230" s="22"/>
      <c r="J230" s="22"/>
      <c r="K230" s="23"/>
      <c r="L230" s="23"/>
      <c r="M230" s="23"/>
      <c r="N230" s="22"/>
    </row>
    <row r="231" customFormat="false" ht="15" hidden="false" customHeight="false" outlineLevel="0" collapsed="false">
      <c r="A231" s="22"/>
      <c r="B231" s="22"/>
      <c r="C231" s="22"/>
      <c r="D231" s="22"/>
      <c r="E231" s="22"/>
      <c r="F231" s="22"/>
      <c r="G231" s="22"/>
      <c r="H231" s="22"/>
      <c r="I231" s="22"/>
      <c r="J231" s="22"/>
      <c r="K231" s="23"/>
      <c r="L231" s="23"/>
      <c r="M231" s="23"/>
      <c r="N231" s="22"/>
    </row>
  </sheetData>
  <dataValidations count="5">
    <dataValidation allowBlank="true" errorStyle="stop" operator="between" showDropDown="false" showErrorMessage="false" showInputMessage="false" sqref="J2:J232" type="list">
      <formula1>"Backlog,To Do,In Progress,In Review,Blocked,Done"</formula1>
      <formula2>0</formula2>
    </dataValidation>
    <dataValidation allowBlank="true" errorStyle="stop" operator="between" showDropDown="false" showErrorMessage="false" showInputMessage="false" sqref="H2:H232" type="list">
      <formula1>"Critical,High,Medium,Low"</formula1>
      <formula2>0</formula2>
    </dataValidation>
    <dataValidation allowBlank="true" errorStyle="stop" operator="between" showDropDown="false" showErrorMessage="false" showInputMessage="false" sqref="I2:I232" type="list">
      <formula1>"Darshan,Shivam,Achyuth,All Founders,Unassigned"</formula1>
      <formula2>0</formula2>
    </dataValidation>
    <dataValidation allowBlank="true" errorStyle="stop" operator="between" showDropDown="false" showErrorMessage="false" showInputMessage="false" sqref="G2:G232" type="list">
      <formula1>"Feature,Bug,Chore,Improvement,Design,Research"</formula1>
      <formula2>0</formula2>
    </dataValidation>
    <dataValidation allowBlank="true" errorStyle="stop" operator="between" showDropDown="false" showErrorMessage="false" showInputMessage="false" sqref="F2:F232"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8"/>
    <col collapsed="false" customWidth="true" hidden="false" outlineLevel="0" max="4" min="4" style="0" width="140"/>
  </cols>
  <sheetData>
    <row r="1" customFormat="false" ht="15" hidden="false" customHeight="false" outlineLevel="0" collapsed="false">
      <c r="A1" s="9" t="s">
        <v>20</v>
      </c>
      <c r="B1" s="9" t="s">
        <v>4</v>
      </c>
      <c r="C1" s="9" t="s">
        <v>21</v>
      </c>
      <c r="D1" s="9" t="s">
        <v>166</v>
      </c>
    </row>
    <row r="2" customFormat="false" ht="510" hidden="false" customHeight="true" outlineLevel="0" collapsed="false">
      <c r="A2" s="24" t="s">
        <v>31</v>
      </c>
      <c r="B2" s="25" t="s">
        <v>8</v>
      </c>
      <c r="C2" s="24" t="s">
        <v>32</v>
      </c>
      <c r="D2" s="14" t="s">
        <v>167</v>
      </c>
    </row>
    <row r="3" customFormat="false" ht="495" hidden="false" customHeight="true" outlineLevel="0" collapsed="false">
      <c r="A3" s="24" t="s">
        <v>39</v>
      </c>
      <c r="B3" s="25" t="s">
        <v>8</v>
      </c>
      <c r="C3" s="24" t="s">
        <v>40</v>
      </c>
      <c r="D3" s="14" t="s">
        <v>168</v>
      </c>
    </row>
    <row r="4" customFormat="false" ht="600" hidden="false" customHeight="true" outlineLevel="0" collapsed="false">
      <c r="A4" s="24" t="s">
        <v>43</v>
      </c>
      <c r="B4" s="25" t="s">
        <v>8</v>
      </c>
      <c r="C4" s="24" t="s">
        <v>44</v>
      </c>
      <c r="D4" s="14" t="s">
        <v>169</v>
      </c>
    </row>
    <row r="5" customFormat="false" ht="450" hidden="false" customHeight="true" outlineLevel="0" collapsed="false">
      <c r="A5" s="24" t="s">
        <v>47</v>
      </c>
      <c r="B5" s="25" t="s">
        <v>8</v>
      </c>
      <c r="C5" s="24" t="s">
        <v>48</v>
      </c>
      <c r="D5" s="14" t="s">
        <v>170</v>
      </c>
    </row>
    <row r="6" customFormat="false" ht="390" hidden="false" customHeight="true" outlineLevel="0" collapsed="false">
      <c r="A6" s="24" t="s">
        <v>51</v>
      </c>
      <c r="B6" s="25" t="s">
        <v>8</v>
      </c>
      <c r="C6" s="24" t="s">
        <v>52</v>
      </c>
      <c r="D6" s="14" t="s">
        <v>171</v>
      </c>
    </row>
    <row r="7" customFormat="false" ht="420" hidden="false" customHeight="true" outlineLevel="0" collapsed="false">
      <c r="A7" s="24" t="s">
        <v>57</v>
      </c>
      <c r="B7" s="25" t="s">
        <v>8</v>
      </c>
      <c r="C7" s="24" t="s">
        <v>58</v>
      </c>
      <c r="D7" s="14" t="s">
        <v>172</v>
      </c>
    </row>
    <row r="8" customFormat="false" ht="300" hidden="false" customHeight="true" outlineLevel="0" collapsed="false">
      <c r="A8" s="24" t="s">
        <v>62</v>
      </c>
      <c r="B8" s="25" t="s">
        <v>8</v>
      </c>
      <c r="C8" s="24" t="s">
        <v>63</v>
      </c>
      <c r="D8" s="14" t="s">
        <v>173</v>
      </c>
    </row>
    <row r="9" customFormat="false" ht="675" hidden="false" customHeight="true" outlineLevel="0" collapsed="false">
      <c r="A9" s="24" t="s">
        <v>67</v>
      </c>
      <c r="B9" s="25" t="s">
        <v>8</v>
      </c>
      <c r="C9" s="24" t="s">
        <v>68</v>
      </c>
      <c r="D9" s="14" t="s">
        <v>174</v>
      </c>
    </row>
    <row r="10" customFormat="false" ht="690" hidden="false" customHeight="true" outlineLevel="0" collapsed="false">
      <c r="A10" s="24" t="s">
        <v>71</v>
      </c>
      <c r="B10" s="25" t="s">
        <v>8</v>
      </c>
      <c r="C10" s="24" t="s">
        <v>72</v>
      </c>
      <c r="D10" s="14" t="s">
        <v>175</v>
      </c>
    </row>
    <row r="11" customFormat="false" ht="600" hidden="false" customHeight="true" outlineLevel="0" collapsed="false">
      <c r="A11" s="24" t="s">
        <v>75</v>
      </c>
      <c r="B11" s="25" t="s">
        <v>8</v>
      </c>
      <c r="C11" s="24" t="s">
        <v>76</v>
      </c>
      <c r="D11" s="14" t="s">
        <v>176</v>
      </c>
    </row>
    <row r="12" customFormat="false" ht="780" hidden="false" customHeight="true" outlineLevel="0" collapsed="false">
      <c r="A12" s="24" t="s">
        <v>79</v>
      </c>
      <c r="B12" s="25" t="s">
        <v>8</v>
      </c>
      <c r="C12" s="24" t="s">
        <v>80</v>
      </c>
      <c r="D12" s="14" t="s">
        <v>177</v>
      </c>
    </row>
    <row r="13" customFormat="false" ht="630" hidden="false" customHeight="true" outlineLevel="0" collapsed="false">
      <c r="A13" s="24" t="s">
        <v>83</v>
      </c>
      <c r="B13" s="25" t="s">
        <v>8</v>
      </c>
      <c r="C13" s="24" t="s">
        <v>84</v>
      </c>
      <c r="D13" s="14" t="s">
        <v>178</v>
      </c>
    </row>
    <row r="14" customFormat="false" ht="720" hidden="false" customHeight="true" outlineLevel="0" collapsed="false">
      <c r="A14" s="24" t="s">
        <v>87</v>
      </c>
      <c r="B14" s="25" t="s">
        <v>8</v>
      </c>
      <c r="C14" s="24" t="s">
        <v>88</v>
      </c>
      <c r="D14" s="14" t="s">
        <v>179</v>
      </c>
    </row>
    <row r="15" customFormat="false" ht="525" hidden="false" customHeight="true" outlineLevel="0" collapsed="false">
      <c r="A15" s="24" t="s">
        <v>91</v>
      </c>
      <c r="B15" s="25" t="s">
        <v>8</v>
      </c>
      <c r="C15" s="24" t="s">
        <v>92</v>
      </c>
      <c r="D15" s="14" t="s">
        <v>180</v>
      </c>
    </row>
    <row r="16" customFormat="false" ht="615" hidden="false" customHeight="true" outlineLevel="0" collapsed="false">
      <c r="A16" s="24" t="s">
        <v>95</v>
      </c>
      <c r="B16" s="25" t="s">
        <v>8</v>
      </c>
      <c r="C16" s="24" t="s">
        <v>96</v>
      </c>
      <c r="D16" s="14" t="s">
        <v>181</v>
      </c>
    </row>
    <row r="17" customFormat="false" ht="405" hidden="false" customHeight="true" outlineLevel="0" collapsed="false">
      <c r="A17" s="24" t="s">
        <v>100</v>
      </c>
      <c r="B17" s="25" t="s">
        <v>10</v>
      </c>
      <c r="C17" s="24" t="s">
        <v>101</v>
      </c>
      <c r="D17" s="14" t="s">
        <v>182</v>
      </c>
    </row>
    <row r="18" customFormat="false" ht="525" hidden="false" customHeight="true" outlineLevel="0" collapsed="false">
      <c r="A18" s="24" t="s">
        <v>106</v>
      </c>
      <c r="B18" s="25" t="s">
        <v>10</v>
      </c>
      <c r="C18" s="24" t="s">
        <v>107</v>
      </c>
      <c r="D18" s="14" t="s">
        <v>183</v>
      </c>
    </row>
    <row r="19" customFormat="false" ht="900" hidden="false" customHeight="true" outlineLevel="0" collapsed="false">
      <c r="A19" s="24" t="s">
        <v>110</v>
      </c>
      <c r="B19" s="25" t="s">
        <v>10</v>
      </c>
      <c r="C19" s="24" t="s">
        <v>111</v>
      </c>
      <c r="D19" s="14" t="s">
        <v>184</v>
      </c>
    </row>
    <row r="20" customFormat="false" ht="345" hidden="false" customHeight="true" outlineLevel="0" collapsed="false">
      <c r="A20" s="24" t="s">
        <v>114</v>
      </c>
      <c r="B20" s="25" t="s">
        <v>10</v>
      </c>
      <c r="C20" s="24" t="s">
        <v>115</v>
      </c>
      <c r="D20" s="14" t="s">
        <v>185</v>
      </c>
    </row>
    <row r="21" customFormat="false" ht="345" hidden="false" customHeight="true" outlineLevel="0" collapsed="false">
      <c r="A21" s="24" t="s">
        <v>118</v>
      </c>
      <c r="B21" s="25" t="s">
        <v>10</v>
      </c>
      <c r="C21" s="24" t="s">
        <v>119</v>
      </c>
      <c r="D21" s="14" t="s">
        <v>186</v>
      </c>
    </row>
    <row r="22" customFormat="false" ht="555" hidden="false" customHeight="true" outlineLevel="0" collapsed="false">
      <c r="A22" s="24" t="s">
        <v>122</v>
      </c>
      <c r="B22" s="25" t="s">
        <v>10</v>
      </c>
      <c r="C22" s="24" t="s">
        <v>123</v>
      </c>
      <c r="D22" s="14" t="s">
        <v>187</v>
      </c>
    </row>
    <row r="23" customFormat="false" ht="510" hidden="false" customHeight="true" outlineLevel="0" collapsed="false">
      <c r="A23" s="24" t="s">
        <v>126</v>
      </c>
      <c r="B23" s="25" t="s">
        <v>10</v>
      </c>
      <c r="C23" s="24" t="s">
        <v>127</v>
      </c>
      <c r="D23" s="14" t="s">
        <v>188</v>
      </c>
    </row>
    <row r="24" customFormat="false" ht="435" hidden="false" customHeight="true" outlineLevel="0" collapsed="false">
      <c r="A24" s="24" t="s">
        <v>130</v>
      </c>
      <c r="B24" s="25" t="s">
        <v>10</v>
      </c>
      <c r="C24" s="24" t="s">
        <v>131</v>
      </c>
      <c r="D24" s="14" t="s">
        <v>189</v>
      </c>
    </row>
    <row r="25" customFormat="false" ht="345" hidden="false" customHeight="true" outlineLevel="0" collapsed="false">
      <c r="A25" s="24" t="s">
        <v>134</v>
      </c>
      <c r="B25" s="25" t="s">
        <v>12</v>
      </c>
      <c r="C25" s="24" t="s">
        <v>135</v>
      </c>
      <c r="D25" s="14" t="s">
        <v>190</v>
      </c>
    </row>
    <row r="26" customFormat="false" ht="570" hidden="false" customHeight="true" outlineLevel="0" collapsed="false">
      <c r="A26" s="24" t="s">
        <v>138</v>
      </c>
      <c r="B26" s="25" t="s">
        <v>12</v>
      </c>
      <c r="C26" s="24" t="s">
        <v>139</v>
      </c>
      <c r="D26" s="14" t="s">
        <v>191</v>
      </c>
    </row>
    <row r="27" customFormat="false" ht="570" hidden="false" customHeight="true" outlineLevel="0" collapsed="false">
      <c r="A27" s="24" t="s">
        <v>142</v>
      </c>
      <c r="B27" s="25" t="s">
        <v>12</v>
      </c>
      <c r="C27" s="24" t="s">
        <v>143</v>
      </c>
      <c r="D27" s="14" t="s">
        <v>192</v>
      </c>
    </row>
    <row r="28" customFormat="false" ht="390" hidden="false" customHeight="true" outlineLevel="0" collapsed="false">
      <c r="A28" s="24" t="s">
        <v>146</v>
      </c>
      <c r="B28" s="25" t="s">
        <v>12</v>
      </c>
      <c r="C28" s="24" t="s">
        <v>147</v>
      </c>
      <c r="D28" s="14" t="s">
        <v>193</v>
      </c>
    </row>
    <row r="29" customFormat="false" ht="480" hidden="false" customHeight="true" outlineLevel="0" collapsed="false">
      <c r="A29" s="24" t="s">
        <v>150</v>
      </c>
      <c r="B29" s="25" t="s">
        <v>12</v>
      </c>
      <c r="C29" s="24" t="s">
        <v>151</v>
      </c>
      <c r="D29" s="14" t="s">
        <v>194</v>
      </c>
    </row>
    <row r="30" customFormat="false" ht="705" hidden="false" customHeight="true" outlineLevel="0" collapsed="false">
      <c r="A30" s="24" t="s">
        <v>154</v>
      </c>
      <c r="B30" s="25" t="s">
        <v>12</v>
      </c>
      <c r="C30" s="24" t="s">
        <v>155</v>
      </c>
      <c r="D30" s="14" t="s">
        <v>195</v>
      </c>
    </row>
    <row r="31" customFormat="false" ht="360" hidden="false" customHeight="true" outlineLevel="0" collapsed="false">
      <c r="A31" s="24" t="s">
        <v>158</v>
      </c>
      <c r="B31" s="25" t="s">
        <v>14</v>
      </c>
      <c r="C31" s="24" t="s">
        <v>159</v>
      </c>
      <c r="D31" s="14" t="s">
        <v>196</v>
      </c>
    </row>
    <row r="32" customFormat="false" ht="330" hidden="false" customHeight="true" outlineLevel="0" collapsed="false">
      <c r="A32" s="24" t="s">
        <v>162</v>
      </c>
      <c r="B32" s="25" t="s">
        <v>14</v>
      </c>
      <c r="C32" s="24" t="s">
        <v>163</v>
      </c>
      <c r="D32" s="14"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2"/>
  </cols>
  <sheetData>
    <row r="1" customFormat="false" ht="17.35" hidden="false" customHeight="false" outlineLevel="0" collapsed="false">
      <c r="A1" s="26" t="s">
        <v>198</v>
      </c>
    </row>
    <row r="2" customFormat="false" ht="15" hidden="false" customHeight="false" outlineLevel="0" collapsed="false">
      <c r="A2" s="27"/>
    </row>
    <row r="3" customFormat="false" ht="15" hidden="false" customHeight="false" outlineLevel="0" collapsed="false">
      <c r="A3" s="27" t="s">
        <v>199</v>
      </c>
    </row>
    <row r="4" customFormat="false" ht="15" hidden="false" customHeight="false" outlineLevel="0" collapsed="false">
      <c r="A4" s="27"/>
    </row>
    <row r="5" customFormat="false" ht="15" hidden="false" customHeight="false" outlineLevel="0" collapsed="false">
      <c r="A5" s="27" t="s">
        <v>200</v>
      </c>
    </row>
    <row r="6" customFormat="false" ht="15" hidden="false" customHeight="false" outlineLevel="0" collapsed="false">
      <c r="A6" s="27" t="s">
        <v>201</v>
      </c>
    </row>
    <row r="7" customFormat="false" ht="15" hidden="false" customHeight="false" outlineLevel="0" collapsed="false">
      <c r="A7" s="27" t="s">
        <v>202</v>
      </c>
    </row>
    <row r="8" customFormat="false" ht="15" hidden="false" customHeight="false" outlineLevel="0" collapsed="false">
      <c r="A8" s="27" t="s">
        <v>203</v>
      </c>
    </row>
    <row r="9" customFormat="false" ht="15" hidden="false" customHeight="false" outlineLevel="0" collapsed="false">
      <c r="A9" s="27" t="s">
        <v>204</v>
      </c>
    </row>
    <row r="10" customFormat="false" ht="15" hidden="false" customHeight="false" outlineLevel="0" collapsed="false">
      <c r="A10" s="27" t="s">
        <v>205</v>
      </c>
    </row>
    <row r="11" customFormat="false" ht="15" hidden="false" customHeight="false" outlineLevel="0" collapsed="false">
      <c r="A11" s="27" t="s">
        <v>206</v>
      </c>
    </row>
    <row r="12" customFormat="false" ht="15" hidden="false" customHeight="false" outlineLevel="0" collapsed="false">
      <c r="A12" s="27" t="s">
        <v>207</v>
      </c>
    </row>
    <row r="13" customFormat="false" ht="15" hidden="false" customHeight="false" outlineLevel="0" collapsed="false">
      <c r="A13" s="27" t="s">
        <v>208</v>
      </c>
    </row>
    <row r="14" customFormat="false" ht="15" hidden="false" customHeight="false" outlineLevel="0" collapsed="false">
      <c r="A14" s="27"/>
    </row>
    <row r="15" customFormat="false" ht="15" hidden="false" customHeight="false" outlineLevel="0" collapsed="false">
      <c r="A15" s="27" t="s">
        <v>209</v>
      </c>
    </row>
    <row r="16" customFormat="false" ht="15" hidden="false" customHeight="false" outlineLevel="0" collapsed="false">
      <c r="A16" s="27" t="s">
        <v>210</v>
      </c>
    </row>
    <row r="17" customFormat="false" ht="15" hidden="false" customHeight="false" outlineLevel="0" collapsed="false">
      <c r="A17" s="27" t="s">
        <v>211</v>
      </c>
    </row>
    <row r="18" customFormat="false" ht="15" hidden="false" customHeight="false" outlineLevel="0" collapsed="false">
      <c r="A18" s="27"/>
    </row>
    <row r="19" customFormat="false" ht="15" hidden="false" customHeight="false" outlineLevel="0" collapsed="false">
      <c r="A19" s="27" t="s">
        <v>212</v>
      </c>
    </row>
    <row r="20" customFormat="false" ht="15" hidden="false" customHeight="false" outlineLevel="0" collapsed="false">
      <c r="A20" s="27" t="s">
        <v>213</v>
      </c>
    </row>
    <row r="21" customFormat="false" ht="15" hidden="false" customHeight="false" outlineLevel="0" collapsed="false">
      <c r="A21" s="27" t="s">
        <v>214</v>
      </c>
    </row>
    <row r="22" customFormat="false" ht="15" hidden="false" customHeight="false" outlineLevel="0" collapsed="false">
      <c r="A22" s="27" t="s">
        <v>215</v>
      </c>
    </row>
    <row r="23" customFormat="false" ht="15" hidden="false" customHeight="false" outlineLevel="0" collapsed="false">
      <c r="A23" s="27" t="s">
        <v>216</v>
      </c>
    </row>
    <row r="24" customFormat="false" ht="15" hidden="false" customHeight="false" outlineLevel="0" collapsed="false">
      <c r="A24" s="27" t="s">
        <v>217</v>
      </c>
    </row>
    <row r="25" customFormat="false" ht="15" hidden="false" customHeight="false" outlineLevel="0" collapsed="false">
      <c r="A25" s="27" t="s">
        <v>218</v>
      </c>
    </row>
    <row r="26" customFormat="false" ht="15" hidden="false" customHeight="false" outlineLevel="0" collapsed="false">
      <c r="A26" s="27" t="s">
        <v>219</v>
      </c>
    </row>
    <row r="27" customFormat="false" ht="15" hidden="false" customHeight="false" outlineLevel="0" collapsed="false">
      <c r="A27" s="27" t="s">
        <v>220</v>
      </c>
    </row>
    <row r="28" customFormat="false" ht="15" hidden="false" customHeight="false" outlineLevel="0" collapsed="false">
      <c r="A28" s="27"/>
    </row>
    <row r="29" customFormat="false" ht="15" hidden="false" customHeight="false" outlineLevel="0" collapsed="false">
      <c r="A29" s="27" t="s">
        <v>221</v>
      </c>
    </row>
    <row r="30" customFormat="false" ht="15" hidden="false" customHeight="false" outlineLevel="0" collapsed="false">
      <c r="A30" s="27" t="s">
        <v>222</v>
      </c>
    </row>
    <row r="31" customFormat="false" ht="15" hidden="false" customHeight="false" outlineLevel="0" collapsed="false">
      <c r="A31" s="27" t="s">
        <v>223</v>
      </c>
    </row>
    <row r="32" customFormat="false" ht="15" hidden="false" customHeight="false" outlineLevel="0" collapsed="false">
      <c r="A32" s="27"/>
    </row>
    <row r="33" customFormat="false" ht="15" hidden="false" customHeight="false" outlineLevel="0" collapsed="false">
      <c r="A33" s="27" t="s">
        <v>224</v>
      </c>
    </row>
    <row r="34" customFormat="false" ht="15" hidden="false" customHeight="false" outlineLevel="0" collapsed="false">
      <c r="A34" s="27" t="s">
        <v>225</v>
      </c>
    </row>
    <row r="35" customFormat="false" ht="15" hidden="false" customHeight="false" outlineLevel="0" collapsed="false">
      <c r="A35" s="27" t="s">
        <v>226</v>
      </c>
    </row>
    <row r="36" customFormat="false" ht="15" hidden="false" customHeight="false" outlineLevel="0" collapsed="false">
      <c r="A36" s="27" t="s">
        <v>227</v>
      </c>
    </row>
    <row r="37" customFormat="false" ht="15" hidden="false" customHeight="false" outlineLevel="0" collapsed="false">
      <c r="A37" s="27"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2026-07-14T16:57:01Z</dcterms:created>
  <dc:creator>openpyxl</dc:creator>
  <dc:description/>
  <dc:language>en-US</dc:language>
  <cp:lastModifiedBy/>
  <dcterms:modified xsi:type="dcterms:W3CDTF">2026-07-14T16:57:01Z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