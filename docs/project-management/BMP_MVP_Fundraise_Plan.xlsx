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o this first" sheetId="1" state="visible" r:id="rId3"/>
    <sheet name="Open endpoints" sheetId="2" state="visible" r:id="rId4"/>
    <sheet name="Plan" sheetId="3" state="visible" r:id="rId5"/>
    <sheet name="Not now" sheetId="4" state="visible" r:id="rId6"/>
    <sheet name="Numbers to hit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<sst xmlns="http://schemas.openxmlformats.org/spreadsheetml/2006/main" count="357" uniqueCount="240">
  <si>
    <t xml:space="preserve">The first week, in order</t>
  </si>
  <si>
    <t xml:space="preserve">Today, before anything else</t>
  </si>
  <si>
    <t xml:space="preserve">1</t>
  </si>
  <si>
    <t xml:space="preserve">Start company registration</t>
  </si>
  <si>
    <t xml:space="preserve">External and slow. Everything downstream waits on it, including Razorpay. Nothing about it is engineering — start it and forget it.</t>
  </si>
  <si>
    <t xml:space="preserve">2</t>
  </si>
  <si>
    <t xml:space="preserve">Start Razorpay KYC</t>
  </si>
  <si>
    <t xml:space="preserve">Takes longer than the integration it unblocks. Begin the moment the entity exists.</t>
  </si>
  <si>
    <t xml:space="preserve">Then, ~3 days of engineering — close the holes before anything is public</t>
  </si>
  <si>
    <t xml:space="preserve">3</t>
  </si>
  <si>
    <t xml:space="preserve">Remove the fail-open auth default</t>
  </si>
  <si>
    <t xml:space="preserve">CommonSecurityConfig defaults bmp.security.public-paths to /**. Delete the default so a service that forgets FAILS TO START. One line; retires the bug class.</t>
  </si>
  <si>
    <t xml:space="preserve">4</t>
  </si>
  <si>
    <t xml:space="preserve">Set public-paths in the 4 services missing it</t>
  </si>
  <si>
    <t xml:space="preserve">bmp-salon, bmp-payment, bmp-review, bmp-notification. Until this lands, step 3 stops them booting — do both together.</t>
  </si>
  <si>
    <t xml:space="preserve">5</t>
  </si>
  <si>
    <t xml:space="preserve">Audit bmp-salon's 35 unprotected endpoints</t>
  </si>
  <si>
    <t xml:space="preserve">The real work, not the config. Each one: genuinely public, or needs @PreAuthorize? 51 endpoints, only 16 protected today.</t>
  </si>
  <si>
    <t xml:space="preserve">6</t>
  </si>
  <si>
    <t xml:space="preserve">Add a guard so this cannot recur</t>
  </si>
  <si>
    <t xml:space="preserve">A tiny test or build check asserting every service sets public-paths. Cheaper than remembering.</t>
  </si>
  <si>
    <t xml:space="preserve">7</t>
  </si>
  <si>
    <t xml:space="preserve">Fix the three wrong comments and the RUN_LOCALLY table</t>
  </si>
  <si>
    <t xml:space="preserve">They claim the principal is always null under /**. It isn't — JwtAuthFilter always runs. Someone will misdiagnose the next one.</t>
  </si>
  <si>
    <t xml:space="preserve">Same week, free</t>
  </si>
  <si>
    <t xml:space="preserve">8</t>
  </si>
  <si>
    <t xml:space="preserve">Stop running config-server and monitoring</t>
  </si>
  <si>
    <t xml:space="preserve">Both are optional: imports; services boot without them. 13 processes to 11, today, for nothing.</t>
  </si>
  <si>
    <t xml:space="preserve">9</t>
  </si>
  <si>
    <t xml:space="preserve">Write the no-new-services rule into CONTEXT.md</t>
  </si>
  <si>
    <t xml:space="preserve">Whatever comes next goes in an existing service. Rules that live only in a chat do not survive.</t>
  </si>
  <si>
    <t xml:space="preserve">10</t>
  </si>
  <si>
    <t xml:space="preserve">Declare the console frozen</t>
  </si>
  <si>
    <t xml:space="preserve">Feature-complete for a team of zero. Say so in BMP-ADMIN/CONTEXT.md so nobody 'finishes' it.</t>
  </si>
  <si>
    <t xml:space="preserve">After that</t>
  </si>
  <si>
    <t xml:space="preserve">11</t>
  </si>
  <si>
    <t xml:space="preserve">Agree commission with 3 real salon owners</t>
  </si>
  <si>
    <t xml:space="preserve">Then start signing salons. This is the long pole — 20+ days — so it runs in the background from here on.</t>
  </si>
  <si>
    <t xml:space="preserve">12</t>
  </si>
  <si>
    <t xml:space="preserve">Begin Razorpay integration (Track 1)</t>
  </si>
  <si>
    <t xml:space="preserve">Once KYC clears. 13 days to a booking that can actually complete.</t>
  </si>
  <si>
    <t xml:space="preserve">Why the security work comes before the deployment work</t>
  </si>
  <si>
    <t xml:space="preserve">52 endpoints across four services currently need no credential at all. Today that is harmless — nothing is deployed, so nothing is reachable. Track 2 puts it on a public VM, and at that moment it stops being harmless.</t>
  </si>
  <si>
    <t xml:space="preserve">So the dependency is hard: steps 3-6 must land before D2. It is ~3 days now, or an incident later.</t>
  </si>
  <si>
    <t xml:space="preserve">Measured, not asserted — where authentication is missing today</t>
  </si>
  <si>
    <t xml:space="preserve">Service</t>
  </si>
  <si>
    <t xml:space="preserve">public-paths</t>
  </si>
  <si>
    <t xml:space="preserve">Endpoints</t>
  </si>
  <si>
    <t xml:space="preserve">With @PreAuthorize</t>
  </si>
  <si>
    <t xml:space="preserve">Reachable with NO token</t>
  </si>
  <si>
    <t xml:space="preserve">bmp-salon</t>
  </si>
  <si>
    <t xml:space="preserve">ABSENT</t>
  </si>
  <si>
    <t xml:space="preserve">bmp-notification</t>
  </si>
  <si>
    <t xml:space="preserve">bmp-review</t>
  </si>
  <si>
    <t xml:space="preserve">bmp-payment</t>
  </si>
  <si>
    <t xml:space="preserve">bmp-booking</t>
  </si>
  <si>
    <t xml:space="preserve">set</t>
  </si>
  <si>
    <t xml:space="preserve">bmp-rewards</t>
  </si>
  <si>
    <t xml:space="preserve">bmp-user</t>
  </si>
  <si>
    <t xml:space="preserve">TOTAL</t>
  </si>
  <si>
    <t xml:space="preserve">The cause, in one line</t>
  </si>
  <si>
    <t xml:space="preserve">CommonSecurityConfig: @Value("${bmp.security.public-paths:/**}"). A service that never mentions the property gets permitAll() on everything. Omission fails open.</t>
  </si>
  <si>
    <t xml:space="preserve">Why this is an architecture point, not a config bug</t>
  </si>
  <si>
    <t xml:space="preserve">In one process, "is this authenticated?" is decided once. Thirteen services turned it into thirteen decisions, and four are still wrong. Distribution did not cause a bug — it caused a bug class, and multiplied the places it can hide.</t>
  </si>
  <si>
    <t xml:space="preserve">A correction worth reading</t>
  </si>
  <si>
    <t xml:space="preserve">Comments in bmp-booking and bmp-rewards claim that under /** the principal was always null, so @PreAuthorize could not run. That is wrong. JwtAuthFilter runs on every request and populates the SecurityContext whenever a valid token is present; permitAll() governs the authorization decision, not filter execution. The real hole is narrower and still serious: anything WITHOUT @PreAuthorize needs no token. Left uncorrected, someone misdiagnoses the next occurrence.</t>
  </si>
  <si>
    <t xml:space="preserve">Exposure today</t>
  </si>
  <si>
    <t xml:space="preserve">Zero — nothing is deployed. That changes the day Track 2 lands, which is why the fix is sequenced before it.</t>
  </si>
  <si>
    <t xml:space="preserve">Full sequenced plan — Track 0 runs in parallel from day one</t>
  </si>
  <si>
    <t xml:space="preserve">#</t>
  </si>
  <si>
    <t xml:space="preserve">Track</t>
  </si>
  <si>
    <t xml:space="preserve">ID</t>
  </si>
  <si>
    <t xml:space="preserve">Task</t>
  </si>
  <si>
    <t xml:space="preserve">Why it matters</t>
  </si>
  <si>
    <t xml:space="preserve">Type</t>
  </si>
  <si>
    <t xml:space="preserve">Est. days</t>
  </si>
  <si>
    <t xml:space="preserve">Depends on</t>
  </si>
  <si>
    <t xml:space="preserve">Owner</t>
  </si>
  <si>
    <t xml:space="preserve">Status</t>
  </si>
  <si>
    <t xml:space="preserve">Track 0 — Company &amp; supply (not code)</t>
  </si>
  <si>
    <t xml:space="preserve">S1</t>
  </si>
  <si>
    <t xml:space="preserve">Register the company</t>
  </si>
  <si>
    <t xml:space="preserve">Fills [[REGISTERED_ENTITY_NAME]] in Privacy/Terms; gates Razorpay KYC; nobody wires money to a person.</t>
  </si>
  <si>
    <t xml:space="preserve">External</t>
  </si>
  <si>
    <t xml:space="preserve">—</t>
  </si>
  <si>
    <t xml:space="preserve">To Do</t>
  </si>
  <si>
    <t xml:space="preserve">S2</t>
  </si>
  <si>
    <t xml:space="preserve">Razorpay account + KYC</t>
  </si>
  <si>
    <t xml:space="preserve">Start day one. Takes longer than the integration. All of Track 1 waits on live keys.</t>
  </si>
  <si>
    <t xml:space="preserve">S3</t>
  </si>
  <si>
    <t xml:space="preserve">Agree commission % with 3 real owners</t>
  </si>
  <si>
    <t xml:space="preserve">Every booking freezes a commission basis no salon has agreed to. Find out before it is in a deck.</t>
  </si>
  <si>
    <t xml:space="preserve">Business</t>
  </si>
  <si>
    <t xml:space="preserve">S4</t>
  </si>
  <si>
    <t xml:space="preserve">Sign 10 salons in one neighbourhood</t>
  </si>
  <si>
    <t xml:space="preserve">THE bottleneck. Indiranagar — the seed data already assumes it. Ten live salons beats the whole backlog.</t>
  </si>
  <si>
    <t xml:space="preserve">S5</t>
  </si>
  <si>
    <t xml:space="preserve">Load their real services and prices</t>
  </si>
  <si>
    <t xml:space="preserve">Replaces seed data with a real catalogue. Cheap, and the demo stops looking like a demo.</t>
  </si>
  <si>
    <t xml:space="preserve">Ops</t>
  </si>
  <si>
    <t xml:space="preserve">Track H — Close the holes, stop the bleeding</t>
  </si>
  <si>
    <t xml:space="preserve">H1</t>
  </si>
  <si>
    <t xml:space="preserve">Delete the :/** default in CommonSecurityConfig so a service that forgets fails to START, not to authenticate. Highest value change in the codebase.</t>
  </si>
  <si>
    <t xml:space="preserve">Backend</t>
  </si>
  <si>
    <t xml:space="preserve">H2</t>
  </si>
  <si>
    <t xml:space="preserve">Set public-paths in the 4 missing services</t>
  </si>
  <si>
    <t xml:space="preserve">bmp-salon, payment, review, notification. Must ship WITH H1 or those services stop booting.</t>
  </si>
  <si>
    <t xml:space="preserve">H3</t>
  </si>
  <si>
    <t xml:space="preserve">The actual work. Per endpoint: genuinely public, or needs @PreAuthorize? 51 endpoints, 16 protected.</t>
  </si>
  <si>
    <t xml:space="preserve">H4</t>
  </si>
  <si>
    <t xml:space="preserve">Guard so it cannot recur</t>
  </si>
  <si>
    <t xml:space="preserve">A test asserting every service sets public-paths. Cheaper and more reliable than remembering.</t>
  </si>
  <si>
    <t xml:space="preserve">H5</t>
  </si>
  <si>
    <t xml:space="preserve">Correct the wrong comments + docs</t>
  </si>
  <si>
    <t xml:space="preserve">bmp-booking/bmp-rewards comments and RUN_LOCALLY §8 misstate the failure mode. Wrong docs cause wrong diagnoses.</t>
  </si>
  <si>
    <t xml:space="preserve">Docs</t>
  </si>
  <si>
    <t xml:space="preserve">H6</t>
  </si>
  <si>
    <t xml:space="preserve">Stop running config-server + monitoring</t>
  </si>
  <si>
    <t xml:space="preserve">Already optional: imports. 13 processes to 11 for free. Update RUN_LOCALLY's default list.</t>
  </si>
  <si>
    <t xml:space="preserve">DevOps</t>
  </si>
  <si>
    <t xml:space="preserve">H7</t>
  </si>
  <si>
    <t xml:space="preserve">Next thing goes in an existing service. A rule that lives only in chat does not survive the week.</t>
  </si>
  <si>
    <t xml:space="preserve">H8</t>
  </si>
  <si>
    <t xml:space="preserve">Track 1 — Make one rupee move</t>
  </si>
  <si>
    <t xml:space="preserve">P1</t>
  </si>
  <si>
    <t xml:space="preserve">Razorpay test keys wired locally</t>
  </si>
  <si>
    <t xml:space="preserve">Keys go in local-secrets.ps1 (gitignored). Never a migration, never application.yml.</t>
  </si>
  <si>
    <t xml:space="preserve">P2</t>
  </si>
  <si>
    <t xml:space="preserve">bmp-payment: create order on booking</t>
  </si>
  <si>
    <t xml:space="preserve">First half of the loop — booking returns an order id the client can pay against.</t>
  </si>
  <si>
    <t xml:space="preserve">P3</t>
  </si>
  <si>
    <t xml:space="preserve">Webhook + signature verification</t>
  </si>
  <si>
    <t xml:space="preserve">Verify before trusting. An unverified webhook lets anyone mark any booking paid.</t>
  </si>
  <si>
    <t xml:space="preserve">P4</t>
  </si>
  <si>
    <t xml:space="preserve">PENDING to CONFIRMED, idempotently</t>
  </si>
  <si>
    <t xml:space="preserve">Razorpay retries. Handle the same event twice without double-confirming or double-counting GMV.</t>
  </si>
  <si>
    <t xml:space="preserve">P5</t>
  </si>
  <si>
    <t xml:space="preserve">Failure, timeout and abandonment</t>
  </si>
  <si>
    <t xml:space="preserve">Most of real traffic. An abandoned payment must release the held slot or availability silently rots.</t>
  </si>
  <si>
    <t xml:space="preserve">P6</t>
  </si>
  <si>
    <t xml:space="preserve">Manager check-in</t>
  </si>
  <si>
    <t xml:space="preserve">Built already, unreachable because no booking leaves PENDING. Near-free once P4 lands.</t>
  </si>
  <si>
    <t xml:space="preserve">P7</t>
  </si>
  <si>
    <t xml:space="preserve">Tests on the money path only</t>
  </si>
  <si>
    <t xml:space="preserve">Not coverage. Booking creation, coupon redemption, webhook idempotency — where a silent bug costs cash.</t>
  </si>
  <si>
    <t xml:space="preserve">P8</t>
  </si>
  <si>
    <t xml:space="preserve">Settle salons by hand</t>
  </si>
  <si>
    <t xml:space="preserve">A deliberate non-build. An hour a week at 10 salons vs a week building Route. Revisit at ~50.</t>
  </si>
  <si>
    <t xml:space="preserve">Decision</t>
  </si>
  <si>
    <t xml:space="preserve">Track 2 — Make it clickable</t>
  </si>
  <si>
    <t xml:space="preserve">D1</t>
  </si>
  <si>
    <t xml:space="preserve">Dockerfiles for the 5 core services</t>
  </si>
  <si>
    <t xml:space="preserve">None exist. Gateway, auth, user, salon, booking — not all 13.</t>
  </si>
  <si>
    <t xml:space="preserve">D2</t>
  </si>
  <si>
    <t xml:space="preserve">One VM: compose + nginx + TLS</t>
  </si>
  <si>
    <t xml:space="preserve">Your own compose comment prices the pilot at Rs 3-6k/month. BLOCKED ON TRACK H — do not expose 52 open endpoints.</t>
  </si>
  <si>
    <t xml:space="preserve">D1, H3</t>
  </si>
  <si>
    <t xml:space="preserve">D3</t>
  </si>
  <si>
    <t xml:space="preserve">Deploy the web app</t>
  </si>
  <si>
    <t xml:space="preserve">EXPO_PUBLIC_USE_MOCKS=false, pointed at the deployed gateway.</t>
  </si>
  <si>
    <t xml:space="preserve">Frontend</t>
  </si>
  <si>
    <t xml:space="preserve">D4</t>
  </si>
  <si>
    <t xml:space="preserve">Turn every dev bypass off</t>
  </si>
  <si>
    <t xml:space="preserve">BMP_DEV_MASTER_OTP empty, both USE_MOCKS false, BMP_ADMIN_DEV_STAFF unset. Three flags separate a demo from a product.</t>
  </si>
  <si>
    <t xml:space="preserve">D5</t>
  </si>
  <si>
    <t xml:space="preserve">Smoke-test runbook</t>
  </si>
  <si>
    <t xml:space="preserve">Ten minutes, written down, after every deploy. You will demo this live and unrehearsed at least once.</t>
  </si>
  <si>
    <t xml:space="preserve">Track 3 — Be able to answer questions</t>
  </si>
  <si>
    <t xml:space="preserve">N1</t>
  </si>
  <si>
    <t xml:space="preserve">Events table + write on key actions</t>
  </si>
  <si>
    <t xml:space="preserve">Signup, search, booking created, confirmed, cancelled. A table and an insert — not a vendor.</t>
  </si>
  <si>
    <t xml:space="preserve">N2</t>
  </si>
  <si>
    <t xml:space="preserve">Weekly numbers query</t>
  </si>
  <si>
    <t xml:space="preserve">You cannot currently answer 'how many bookings last week?'. Every investor asks.</t>
  </si>
  <si>
    <t xml:space="preserve">Effort by track</t>
  </si>
  <si>
    <t xml:space="preserve">Engineering days only (Tracks H, 1, 2, 3):</t>
  </si>
  <si>
    <t xml:space="preserve">Yellow cells are yours: Owner and Status. Type Done in Status and the counters update.</t>
  </si>
  <si>
    <t xml:space="preserve">Estimates are rough engineering days for ONE person — my estimate, not measured from your team's history.</t>
  </si>
  <si>
    <t xml:space="preserve">Track 0 is waiting and legwork, not desk work. Do not add it to an engineering timeline.</t>
  </si>
  <si>
    <t xml:space="preserve">Track H is amber because it is the only track with a hard ordering constraint: it must precede D2.</t>
  </si>
  <si>
    <t xml:space="preserve">Not now — and why. Adding to this list is progress.</t>
  </si>
  <si>
    <t xml:space="preserve">Thing</t>
  </si>
  <si>
    <t xml:space="preserve">Status today</t>
  </si>
  <si>
    <t xml:space="preserve">Why it waits</t>
  </si>
  <si>
    <t xml:space="preserve">Rewriting into a monolith</t>
  </si>
  <si>
    <t xml:space="preserve">13 services</t>
  </si>
  <si>
    <t xml:space="preserve">The cost is sunk and the code works. A rewrite is a month of zero customer value. Consolidate opportunistically, when a service needs real work anyway — not before.</t>
  </si>
  <si>
    <t xml:space="preserve">Any NEW service</t>
  </si>
  <si>
    <t xml:space="preserve">13 already</t>
  </si>
  <si>
    <t xml:space="preserve">Past the point where another adds capability. It adds a deploy target, a failure mode, and one more place to forget public-paths.</t>
  </si>
  <si>
    <t xml:space="preserve">Razorpay Route (auto split)</t>
  </si>
  <si>
    <t xml:space="preserve">Not started</t>
  </si>
  <si>
    <t xml:space="preserve">An hour a week by hand at 10 salons vs a week of work plus its own KYC. Revisit at ~50.</t>
  </si>
  <si>
    <t xml:space="preserve">Deploying the staff console</t>
  </si>
  <si>
    <t xml:space="preserve">Local, on mocks</t>
  </si>
  <si>
    <t xml:space="preserve">No support team. Deploying adds an internet-facing admin surface that reads every customer's phone number, for zero benefit.</t>
  </si>
  <si>
    <t xml:space="preserve">More console features</t>
  </si>
  <si>
    <t xml:space="preserve">Feature-complete</t>
  </si>
  <si>
    <t xml:space="preserve">CSV export, pagination, canned responses, QR for 2FA — all for a team that does not exist. Frozen (see H8).</t>
  </si>
  <si>
    <t xml:space="preserve">Reviews UI</t>
  </si>
  <si>
    <t xml:space="preserve">Backend exists</t>
  </si>
  <si>
    <t xml:space="preserve">Needs completed bookings. Meaningless before payments, near-free after.</t>
  </si>
  <si>
    <t xml:space="preserve">Owner dashboard</t>
  </si>
  <si>
    <t xml:space="preserve">Owners ask at ~20 salons. Before that you are the dashboard — call them.</t>
  </si>
  <si>
    <t xml:space="preserve">Reschedule</t>
  </si>
  <si>
    <t xml:space="preserve">Cancel-and-rebook covers this volume. Real reschedule touches slot locking and refunds.</t>
  </si>
  <si>
    <t xml:space="preserve">SMS / WhatsApp OTP</t>
  </si>
  <si>
    <t xml:space="preserve">Stubbed to logs</t>
  </si>
  <si>
    <t xml:space="preserve">India DLT registration is weeks of paperwork. Email OTP works today and costs nothing.</t>
  </si>
  <si>
    <t xml:space="preserve">Kafka / Cloud Bus tuning</t>
  </si>
  <si>
    <t xml:space="preserve">Working</t>
  </si>
  <si>
    <t xml:space="preserve">Fine at zero load. Tuning a system with no traffic.</t>
  </si>
  <si>
    <t xml:space="preserve">DPDP erasure that truly anonymises</t>
  </si>
  <si>
    <t xml:space="preserve">Deactivates only</t>
  </si>
  <si>
    <t xml:space="preserve">A real obligation, triggered by a request you have not received. Track it; do not build it this month.</t>
  </si>
  <si>
    <t xml:space="preserve">Test coverage beyond the money path</t>
  </si>
  <si>
    <t xml:space="preserve">Zero tests</t>
  </si>
  <si>
    <t xml:space="preserve">Broad coverage on pre-PMF code you may delete is waste. The money path is the exception.</t>
  </si>
  <si>
    <t xml:space="preserve">What you want to be able to say in a meeting</t>
  </si>
  <si>
    <t xml:space="preserve">Fill the yellow column as you go. These are the questions asked in almost every first meeting for a marketplace — not targets I am setting for you.</t>
  </si>
  <si>
    <t xml:space="preserve">Metric</t>
  </si>
  <si>
    <t xml:space="preserve">Today</t>
  </si>
  <si>
    <t xml:space="preserve">Where it comes from</t>
  </si>
  <si>
    <t xml:space="preserve">Notes</t>
  </si>
  <si>
    <t xml:space="preserve">Live salons</t>
  </si>
  <si>
    <t xml:space="preserve">Count them yourself</t>
  </si>
  <si>
    <t xml:space="preserve">The number that matters most right now. Zero today.</t>
  </si>
  <si>
    <t xml:space="preserve">Bookings completed</t>
  </si>
  <si>
    <t xml:space="preserve">Track 3 / N2</t>
  </si>
  <si>
    <t xml:space="preserve">Completed, not created. A PENDING booking is not a booking.</t>
  </si>
  <si>
    <t xml:space="preserve">GMV (Rs)</t>
  </si>
  <si>
    <t xml:space="preserve">Stored as integer paise — divide by 100 before quoting it.</t>
  </si>
  <si>
    <t xml:space="preserve">Take rate (%)</t>
  </si>
  <si>
    <t xml:space="preserve">Commission on confirmed</t>
  </si>
  <si>
    <t xml:space="preserve">Frozen per booking in code. Confirm a real salon agreed to it (S3).</t>
  </si>
  <si>
    <t xml:space="preserve">Repeat rate (%)</t>
  </si>
  <si>
    <t xml:space="preserve">Customers with 2+ completed bookings. Separates a marketplace from a directory.</t>
  </si>
  <si>
    <t xml:space="preserve">Cancellation rate (%)</t>
  </si>
  <si>
    <t xml:space="preserve">High cancellations read as a supply-quality problem. Know it before you are asked.</t>
  </si>
  <si>
    <t xml:space="preserve">Honest reading of today: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</si>
</sst>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2"/>
      <color rgb="FF1F3A5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B0002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666666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EAF0F7"/>
        <bgColor rgb="FFFFFFFF"/>
      </patternFill>
    </fill>
    <fill>
      <patternFill patternType="solid">
        <fgColor rgb="FFFFF3CD"/>
        <bgColor rgb="FFEAF0F7"/>
      </patternFill>
    </fill>
    <fill>
      <patternFill patternType="solid">
        <fgColor rgb="FF2E5C8A"/>
        <bgColor rgb="FF1F3A5F"/>
      </patternFill>
    </fill>
    <fill>
      <patternFill patternType="solid">
        <fgColor rgb="FFF8D7DA"/>
        <bgColor rgb="FFFFF3CD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C4D4"/>
      </left>
      <right style="thin">
        <color rgb="FFB7C4D4"/>
      </right>
      <top style="thin">
        <color rgb="FFB7C4D4"/>
      </top>
      <bottom style="thin">
        <color rgb="FFB7C4D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5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B00020"/>
      <rgbColor rgb="FF008000"/>
      <rgbColor rgb="FF000080"/>
      <rgbColor rgb="FF808000"/>
      <rgbColor rgb="FF800080"/>
      <rgbColor rgb="FF008080"/>
      <rgbColor rgb="FFB7C4D4"/>
      <rgbColor rgb="FF808080"/>
      <rgbColor rgb="FF9999FF"/>
      <rgbColor rgb="FF993366"/>
      <rgbColor rgb="FFFFF3CD"/>
      <rgbColor rgb="FFEAF0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D7DA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A5F"/>
      <rgbColor rgb="FF339966"/>
      <rgbColor rgb="FF003300"/>
      <rgbColor rgb="FF333300"/>
      <rgbColor rgb="FF993300"/>
      <rgbColor rgb="FF993366"/>
      <rgbColor rgb="FF2E5C8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6"/>
    <col collapsed="false" customWidth="true" hidden="false" outlineLevel="0" max="3" min="3" style="0" width="84"/>
  </cols>
  <sheetData>
    <row r="1" customFormat="false" ht="31.5" hidden="false" customHeight="true" outlineLevel="0" collapsed="false">
      <c r="A1" s="1" t="s">
        <v>0</v>
      </c>
      <c r="B1" s="1"/>
      <c r="C1" s="1"/>
    </row>
    <row r="3" customFormat="false" ht="15" hidden="false" customHeight="false" outlineLevel="0" collapsed="false">
      <c r="A3" s="2" t="s">
        <v>1</v>
      </c>
      <c r="B3" s="2"/>
      <c r="C3" s="2"/>
    </row>
    <row r="4" customFormat="false" ht="31.5" hidden="false" customHeight="true" outlineLevel="0" collapsed="false">
      <c r="A4" s="3" t="s">
        <v>2</v>
      </c>
      <c r="B4" s="4" t="s">
        <v>3</v>
      </c>
      <c r="C4" s="4" t="s">
        <v>4</v>
      </c>
    </row>
    <row r="5" customFormat="false" ht="31.5" hidden="false" customHeight="true" outlineLevel="0" collapsed="false">
      <c r="A5" s="3" t="s">
        <v>5</v>
      </c>
      <c r="B5" s="4" t="s">
        <v>6</v>
      </c>
      <c r="C5" s="4" t="s">
        <v>7</v>
      </c>
    </row>
    <row r="6" customFormat="false" ht="15" hidden="false" customHeight="false" outlineLevel="0" collapsed="false">
      <c r="A6" s="2" t="s">
        <v>8</v>
      </c>
      <c r="B6" s="2"/>
      <c r="C6" s="2"/>
    </row>
    <row r="7" customFormat="false" ht="31.5" hidden="false" customHeight="true" outlineLevel="0" collapsed="false">
      <c r="A7" s="3" t="s">
        <v>9</v>
      </c>
      <c r="B7" s="4" t="s">
        <v>10</v>
      </c>
      <c r="C7" s="4" t="s">
        <v>11</v>
      </c>
    </row>
    <row r="8" customFormat="false" ht="31.5" hidden="false" customHeight="true" outlineLevel="0" collapsed="false">
      <c r="A8" s="3" t="s">
        <v>12</v>
      </c>
      <c r="B8" s="4" t="s">
        <v>13</v>
      </c>
      <c r="C8" s="4" t="s">
        <v>14</v>
      </c>
    </row>
    <row r="9" customFormat="false" ht="31.5" hidden="false" customHeight="true" outlineLevel="0" collapsed="false">
      <c r="A9" s="3" t="s">
        <v>15</v>
      </c>
      <c r="B9" s="4" t="s">
        <v>16</v>
      </c>
      <c r="C9" s="4" t="s">
        <v>17</v>
      </c>
    </row>
    <row r="10" customFormat="false" ht="31.5" hidden="false" customHeight="true" outlineLevel="0" collapsed="false">
      <c r="A10" s="3" t="s">
        <v>18</v>
      </c>
      <c r="B10" s="4" t="s">
        <v>19</v>
      </c>
      <c r="C10" s="4" t="s">
        <v>20</v>
      </c>
    </row>
    <row r="11" customFormat="false" ht="31.5" hidden="false" customHeight="true" outlineLevel="0" collapsed="false">
      <c r="A11" s="3" t="s">
        <v>21</v>
      </c>
      <c r="B11" s="4" t="s">
        <v>22</v>
      </c>
      <c r="C11" s="4" t="s">
        <v>23</v>
      </c>
    </row>
    <row r="12" customFormat="false" ht="15" hidden="false" customHeight="false" outlineLevel="0" collapsed="false">
      <c r="A12" s="2" t="s">
        <v>24</v>
      </c>
      <c r="B12" s="2"/>
      <c r="C12" s="2"/>
    </row>
    <row r="13" customFormat="false" ht="31.5" hidden="false" customHeight="true" outlineLevel="0" collapsed="false">
      <c r="A13" s="3" t="s">
        <v>25</v>
      </c>
      <c r="B13" s="4" t="s">
        <v>26</v>
      </c>
      <c r="C13" s="4" t="s">
        <v>27</v>
      </c>
    </row>
    <row r="14" customFormat="false" ht="31.5" hidden="false" customHeight="true" outlineLevel="0" collapsed="false">
      <c r="A14" s="3" t="s">
        <v>28</v>
      </c>
      <c r="B14" s="4" t="s">
        <v>29</v>
      </c>
      <c r="C14" s="4" t="s">
        <v>30</v>
      </c>
    </row>
    <row r="15" customFormat="false" ht="31.5" hidden="false" customHeight="true" outlineLevel="0" collapsed="false">
      <c r="A15" s="3" t="s">
        <v>31</v>
      </c>
      <c r="B15" s="4" t="s">
        <v>32</v>
      </c>
      <c r="C15" s="4" t="s">
        <v>33</v>
      </c>
    </row>
    <row r="16" customFormat="false" ht="15" hidden="false" customHeight="false" outlineLevel="0" collapsed="false">
      <c r="A16" s="2" t="s">
        <v>34</v>
      </c>
      <c r="B16" s="2"/>
      <c r="C16" s="2"/>
    </row>
    <row r="17" customFormat="false" ht="31.5" hidden="false" customHeight="true" outlineLevel="0" collapsed="false">
      <c r="A17" s="3" t="s">
        <v>35</v>
      </c>
      <c r="B17" s="4" t="s">
        <v>36</v>
      </c>
      <c r="C17" s="4" t="s">
        <v>37</v>
      </c>
    </row>
    <row r="18" customFormat="false" ht="31.5" hidden="false" customHeight="true" outlineLevel="0" collapsed="false">
      <c r="A18" s="3" t="s">
        <v>38</v>
      </c>
      <c r="B18" s="4" t="s">
        <v>39</v>
      </c>
      <c r="C18" s="4" t="s">
        <v>40</v>
      </c>
    </row>
    <row r="20" customFormat="false" ht="15" hidden="false" customHeight="false" outlineLevel="0" collapsed="false">
      <c r="A20" s="5" t="s">
        <v>41</v>
      </c>
      <c r="B20" s="5"/>
      <c r="C20" s="5"/>
    </row>
    <row r="21" customFormat="false" ht="30" hidden="false" customHeight="true" outlineLevel="0" collapsed="false">
      <c r="A21" s="6" t="s">
        <v>42</v>
      </c>
      <c r="B21" s="6"/>
      <c r="C21" s="6"/>
    </row>
    <row r="22" customFormat="false" ht="30" hidden="false" customHeight="true" outlineLevel="0" collapsed="false">
      <c r="A22" s="6" t="s">
        <v>43</v>
      </c>
      <c r="B22" s="6"/>
      <c r="C22" s="6"/>
    </row>
  </sheetData>
  <mergeCells count="8">
    <mergeCell ref="A1:C1"/>
    <mergeCell ref="A3:C3"/>
    <mergeCell ref="A6:C6"/>
    <mergeCell ref="A12:C12"/>
    <mergeCell ref="A16:C16"/>
    <mergeCell ref="A20:C20"/>
    <mergeCell ref="A21:C21"/>
    <mergeCell ref="A22:C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4" min="4" style="0" width="20"/>
    <col collapsed="false" customWidth="true" hidden="false" outlineLevel="0" max="5" min="5" style="0" width="24"/>
    <col collapsed="false" customWidth="true" hidden="false" outlineLevel="0" max="6" min="6" style="0" width="2"/>
  </cols>
  <sheetData>
    <row r="1" customFormat="false" ht="31.5" hidden="false" customHeight="true" outlineLevel="0" collapsed="false">
      <c r="A1" s="1" t="s">
        <v>44</v>
      </c>
      <c r="B1" s="1"/>
      <c r="C1" s="1"/>
      <c r="D1" s="1"/>
      <c r="E1" s="1"/>
    </row>
    <row r="3" customFormat="false" ht="30" hidden="false" customHeight="true" outlineLevel="0" collapsed="false">
      <c r="A3" s="7" t="s">
        <v>45</v>
      </c>
      <c r="B3" s="7" t="s">
        <v>46</v>
      </c>
      <c r="C3" s="7" t="s">
        <v>47</v>
      </c>
      <c r="D3" s="7" t="s">
        <v>48</v>
      </c>
      <c r="E3" s="7" t="s">
        <v>49</v>
      </c>
    </row>
    <row r="4" customFormat="false" ht="15" hidden="false" customHeight="false" outlineLevel="0" collapsed="false">
      <c r="A4" s="8" t="s">
        <v>50</v>
      </c>
      <c r="B4" s="9" t="s">
        <v>51</v>
      </c>
      <c r="C4" s="8" t="n">
        <v>51</v>
      </c>
      <c r="D4" s="8" t="n">
        <v>16</v>
      </c>
      <c r="E4" s="10" t="n">
        <f aca="false">IF($B4="ABSENT",$C4-$D4,0)</f>
        <v>35</v>
      </c>
    </row>
    <row r="5" customFormat="false" ht="15" hidden="false" customHeight="false" outlineLevel="0" collapsed="false">
      <c r="A5" s="8" t="s">
        <v>52</v>
      </c>
      <c r="B5" s="9" t="s">
        <v>51</v>
      </c>
      <c r="C5" s="8" t="n">
        <v>7</v>
      </c>
      <c r="D5" s="8" t="n">
        <v>0</v>
      </c>
      <c r="E5" s="10" t="n">
        <f aca="false">IF($B5="ABSENT",$C5-$D5,0)</f>
        <v>7</v>
      </c>
    </row>
    <row r="6" customFormat="false" ht="15" hidden="false" customHeight="false" outlineLevel="0" collapsed="false">
      <c r="A6" s="8" t="s">
        <v>53</v>
      </c>
      <c r="B6" s="9" t="s">
        <v>51</v>
      </c>
      <c r="C6" s="8" t="n">
        <v>6</v>
      </c>
      <c r="D6" s="8" t="n">
        <v>0</v>
      </c>
      <c r="E6" s="10" t="n">
        <f aca="false">IF($B6="ABSENT",$C6-$D6,0)</f>
        <v>6</v>
      </c>
    </row>
    <row r="7" customFormat="false" ht="15" hidden="false" customHeight="false" outlineLevel="0" collapsed="false">
      <c r="A7" s="8" t="s">
        <v>54</v>
      </c>
      <c r="B7" s="9" t="s">
        <v>51</v>
      </c>
      <c r="C7" s="8" t="n">
        <v>4</v>
      </c>
      <c r="D7" s="8" t="n">
        <v>0</v>
      </c>
      <c r="E7" s="10" t="n">
        <f aca="false">IF($B7="ABSENT",$C7-$D7,0)</f>
        <v>4</v>
      </c>
    </row>
    <row r="8" customFormat="false" ht="15" hidden="false" customHeight="false" outlineLevel="0" collapsed="false">
      <c r="A8" s="11" t="s">
        <v>55</v>
      </c>
      <c r="B8" s="11" t="s">
        <v>56</v>
      </c>
      <c r="C8" s="11" t="n">
        <v>19</v>
      </c>
      <c r="D8" s="11" t="n">
        <v>9</v>
      </c>
      <c r="E8" s="12" t="n">
        <f aca="false">IF($B8="ABSENT",$C8-$D8,0)</f>
        <v>0</v>
      </c>
    </row>
    <row r="9" customFormat="false" ht="15" hidden="false" customHeight="false" outlineLevel="0" collapsed="false">
      <c r="A9" s="11" t="s">
        <v>57</v>
      </c>
      <c r="B9" s="11" t="s">
        <v>56</v>
      </c>
      <c r="C9" s="11" t="n">
        <v>15</v>
      </c>
      <c r="D9" s="11" t="n">
        <v>6</v>
      </c>
      <c r="E9" s="12" t="n">
        <f aca="false">IF($B9="ABSENT",$C9-$D9,0)</f>
        <v>0</v>
      </c>
    </row>
    <row r="10" customFormat="false" ht="15" hidden="false" customHeight="false" outlineLevel="0" collapsed="false">
      <c r="A10" s="11" t="s">
        <v>58</v>
      </c>
      <c r="B10" s="11" t="s">
        <v>56</v>
      </c>
      <c r="C10" s="11" t="n">
        <v>13</v>
      </c>
      <c r="D10" s="11" t="n">
        <v>13</v>
      </c>
      <c r="E10" s="12" t="n">
        <f aca="false">IF($B10="ABSENT",$C10-$D10,0)</f>
        <v>0</v>
      </c>
    </row>
    <row r="11" customFormat="false" ht="15" hidden="false" customHeight="false" outlineLevel="0" collapsed="false">
      <c r="A11" s="13" t="s">
        <v>59</v>
      </c>
      <c r="B11" s="14"/>
      <c r="C11" s="13" t="n">
        <f aca="false">SUM(C4:C10)</f>
        <v>115</v>
      </c>
      <c r="D11" s="13" t="n">
        <f aca="false">SUM(D4:D10)</f>
        <v>44</v>
      </c>
      <c r="E11" s="13" t="n">
        <f aca="false">SUM(E4:E10)</f>
        <v>52</v>
      </c>
    </row>
    <row r="13" customFormat="false" ht="15" hidden="false" customHeight="false" outlineLevel="0" collapsed="false">
      <c r="A13" s="5" t="s">
        <v>60</v>
      </c>
      <c r="B13" s="5"/>
      <c r="C13" s="5"/>
      <c r="D13" s="5"/>
      <c r="E13" s="5"/>
    </row>
    <row r="14" customFormat="false" ht="30" hidden="false" customHeight="true" outlineLevel="0" collapsed="false">
      <c r="A14" s="15" t="s">
        <v>61</v>
      </c>
      <c r="B14" s="15"/>
      <c r="C14" s="15"/>
      <c r="D14" s="15"/>
      <c r="E14" s="15"/>
    </row>
    <row r="15" customFormat="false" ht="15" hidden="false" customHeight="false" outlineLevel="0" collapsed="false">
      <c r="A15" s="5" t="s">
        <v>62</v>
      </c>
      <c r="B15" s="5"/>
      <c r="C15" s="5"/>
      <c r="D15" s="5"/>
      <c r="E15" s="5"/>
    </row>
    <row r="16" customFormat="false" ht="45" hidden="false" customHeight="true" outlineLevel="0" collapsed="false">
      <c r="A16" s="15" t="s">
        <v>63</v>
      </c>
      <c r="B16" s="15"/>
      <c r="C16" s="15"/>
      <c r="D16" s="15"/>
      <c r="E16" s="15"/>
    </row>
    <row r="17" customFormat="false" ht="15" hidden="false" customHeight="false" outlineLevel="0" collapsed="false">
      <c r="A17" s="5" t="s">
        <v>64</v>
      </c>
      <c r="B17" s="5"/>
      <c r="C17" s="5"/>
      <c r="D17" s="5"/>
      <c r="E17" s="5"/>
    </row>
    <row r="18" customFormat="false" ht="75" hidden="false" customHeight="true" outlineLevel="0" collapsed="false">
      <c r="A18" s="15" t="s">
        <v>65</v>
      </c>
      <c r="B18" s="15"/>
      <c r="C18" s="15"/>
      <c r="D18" s="15"/>
      <c r="E18" s="15"/>
    </row>
    <row r="19" customFormat="false" ht="15" hidden="false" customHeight="false" outlineLevel="0" collapsed="false">
      <c r="A19" s="5" t="s">
        <v>66</v>
      </c>
      <c r="B19" s="5"/>
      <c r="C19" s="5"/>
      <c r="D19" s="5"/>
      <c r="E19" s="5"/>
    </row>
    <row r="20" customFormat="false" ht="30" hidden="false" customHeight="true" outlineLevel="0" collapsed="false">
      <c r="A20" s="15" t="s">
        <v>67</v>
      </c>
      <c r="B20" s="15"/>
      <c r="C20" s="15"/>
      <c r="D20" s="15"/>
      <c r="E20" s="15"/>
    </row>
  </sheetData>
  <mergeCells count="9">
    <mergeCell ref="A1:E1"/>
    <mergeCell ref="A13:E13"/>
    <mergeCell ref="A14:E14"/>
    <mergeCell ref="A15:E15"/>
    <mergeCell ref="A16:E16"/>
    <mergeCell ref="A17:E17"/>
    <mergeCell ref="A18:E18"/>
    <mergeCell ref="A19:E19"/>
    <mergeCell ref="A20:E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4"/>
    <col collapsed="false" customWidth="true" hidden="false" outlineLevel="0" max="3" min="3" style="0" width="7"/>
    <col collapsed="false" customWidth="true" hidden="false" outlineLevel="0" max="4" min="4" style="0" width="40"/>
    <col collapsed="false" customWidth="true" hidden="false" outlineLevel="0" max="5" min="5" style="0" width="62"/>
    <col collapsed="false" customWidth="true" hidden="false" outlineLevel="0" max="6" min="6" style="0" width="11"/>
    <col collapsed="false" customWidth="true" hidden="false" outlineLevel="0" max="7" min="7" style="0" width="10"/>
    <col collapsed="false" customWidth="true" hidden="false" outlineLevel="0" max="10" min="8" style="0" width="12"/>
  </cols>
  <sheetData>
    <row r="1" customFormat="false" ht="31.5" hidden="false" customHeight="true" outlineLevel="0" collapsed="false">
      <c r="A1" s="1" t="s">
        <v>68</v>
      </c>
      <c r="B1" s="1"/>
      <c r="C1" s="1"/>
      <c r="D1" s="1"/>
      <c r="E1" s="1"/>
      <c r="F1" s="1"/>
      <c r="G1" s="1"/>
      <c r="H1" s="1"/>
      <c r="I1" s="1"/>
      <c r="J1" s="1"/>
    </row>
    <row r="3" customFormat="false" ht="25.5" hidden="false" customHeight="true" outlineLevel="0" collapsed="false">
      <c r="A3" s="7" t="s">
        <v>69</v>
      </c>
      <c r="B3" s="7" t="s">
        <v>70</v>
      </c>
      <c r="C3" s="7" t="s">
        <v>71</v>
      </c>
      <c r="D3" s="7" t="s">
        <v>72</v>
      </c>
      <c r="E3" s="7" t="s">
        <v>73</v>
      </c>
      <c r="F3" s="7" t="s">
        <v>74</v>
      </c>
      <c r="G3" s="7" t="s">
        <v>75</v>
      </c>
      <c r="H3" s="7" t="s">
        <v>76</v>
      </c>
      <c r="I3" s="7" t="s">
        <v>77</v>
      </c>
      <c r="J3" s="7" t="s">
        <v>78</v>
      </c>
    </row>
    <row r="4" customFormat="false" ht="33.75" hidden="false" customHeight="true" outlineLevel="0" collapsed="false">
      <c r="A4" s="16" t="n">
        <v>1</v>
      </c>
      <c r="B4" s="16" t="s">
        <v>79</v>
      </c>
      <c r="C4" s="16" t="s">
        <v>80</v>
      </c>
      <c r="D4" s="4" t="s">
        <v>81</v>
      </c>
      <c r="E4" s="4" t="s">
        <v>82</v>
      </c>
      <c r="F4" s="16" t="s">
        <v>83</v>
      </c>
      <c r="G4" s="17" t="n">
        <v>5</v>
      </c>
      <c r="H4" s="16" t="s">
        <v>84</v>
      </c>
      <c r="I4" s="18"/>
      <c r="J4" s="18" t="s">
        <v>85</v>
      </c>
    </row>
    <row r="5" customFormat="false" ht="33.75" hidden="false" customHeight="true" outlineLevel="0" collapsed="false">
      <c r="A5" s="16" t="n">
        <v>2</v>
      </c>
      <c r="B5" s="16" t="s">
        <v>79</v>
      </c>
      <c r="C5" s="16" t="s">
        <v>86</v>
      </c>
      <c r="D5" s="4" t="s">
        <v>87</v>
      </c>
      <c r="E5" s="4" t="s">
        <v>88</v>
      </c>
      <c r="F5" s="16" t="s">
        <v>83</v>
      </c>
      <c r="G5" s="17" t="n">
        <v>7</v>
      </c>
      <c r="H5" s="16" t="s">
        <v>80</v>
      </c>
      <c r="I5" s="18"/>
      <c r="J5" s="18" t="s">
        <v>85</v>
      </c>
    </row>
    <row r="6" customFormat="false" ht="33.75" hidden="false" customHeight="true" outlineLevel="0" collapsed="false">
      <c r="A6" s="16" t="n">
        <v>3</v>
      </c>
      <c r="B6" s="16" t="s">
        <v>79</v>
      </c>
      <c r="C6" s="16" t="s">
        <v>89</v>
      </c>
      <c r="D6" s="4" t="s">
        <v>90</v>
      </c>
      <c r="E6" s="4" t="s">
        <v>91</v>
      </c>
      <c r="F6" s="16" t="s">
        <v>92</v>
      </c>
      <c r="G6" s="17" t="n">
        <v>3</v>
      </c>
      <c r="H6" s="16" t="s">
        <v>84</v>
      </c>
      <c r="I6" s="18"/>
      <c r="J6" s="18" t="s">
        <v>85</v>
      </c>
    </row>
    <row r="7" customFormat="false" ht="33.75" hidden="false" customHeight="true" outlineLevel="0" collapsed="false">
      <c r="A7" s="16" t="n">
        <v>4</v>
      </c>
      <c r="B7" s="16" t="s">
        <v>79</v>
      </c>
      <c r="C7" s="16" t="s">
        <v>93</v>
      </c>
      <c r="D7" s="4" t="s">
        <v>94</v>
      </c>
      <c r="E7" s="4" t="s">
        <v>95</v>
      </c>
      <c r="F7" s="16" t="s">
        <v>92</v>
      </c>
      <c r="G7" s="17" t="n">
        <v>20</v>
      </c>
      <c r="H7" s="16" t="s">
        <v>89</v>
      </c>
      <c r="I7" s="18"/>
      <c r="J7" s="18" t="s">
        <v>85</v>
      </c>
    </row>
    <row r="8" customFormat="false" ht="33.75" hidden="false" customHeight="true" outlineLevel="0" collapsed="false">
      <c r="A8" s="16" t="n">
        <v>5</v>
      </c>
      <c r="B8" s="16" t="s">
        <v>79</v>
      </c>
      <c r="C8" s="16" t="s">
        <v>96</v>
      </c>
      <c r="D8" s="4" t="s">
        <v>97</v>
      </c>
      <c r="E8" s="4" t="s">
        <v>98</v>
      </c>
      <c r="F8" s="16" t="s">
        <v>99</v>
      </c>
      <c r="G8" s="17" t="n">
        <v>2</v>
      </c>
      <c r="H8" s="16" t="s">
        <v>93</v>
      </c>
      <c r="I8" s="18"/>
      <c r="J8" s="18" t="s">
        <v>85</v>
      </c>
    </row>
    <row r="9" customFormat="false" ht="33.75" hidden="false" customHeight="true" outlineLevel="0" collapsed="false">
      <c r="A9" s="19" t="n">
        <v>6</v>
      </c>
      <c r="B9" s="19" t="s">
        <v>100</v>
      </c>
      <c r="C9" s="19" t="s">
        <v>101</v>
      </c>
      <c r="D9" s="20" t="s">
        <v>10</v>
      </c>
      <c r="E9" s="20" t="s">
        <v>102</v>
      </c>
      <c r="F9" s="19" t="s">
        <v>103</v>
      </c>
      <c r="G9" s="21" t="n">
        <v>0.5</v>
      </c>
      <c r="H9" s="19" t="s">
        <v>84</v>
      </c>
      <c r="I9" s="18"/>
      <c r="J9" s="18" t="s">
        <v>85</v>
      </c>
    </row>
    <row r="10" customFormat="false" ht="33.75" hidden="false" customHeight="true" outlineLevel="0" collapsed="false">
      <c r="A10" s="19" t="n">
        <v>7</v>
      </c>
      <c r="B10" s="19" t="s">
        <v>100</v>
      </c>
      <c r="C10" s="19" t="s">
        <v>104</v>
      </c>
      <c r="D10" s="20" t="s">
        <v>105</v>
      </c>
      <c r="E10" s="20" t="s">
        <v>106</v>
      </c>
      <c r="F10" s="19" t="s">
        <v>103</v>
      </c>
      <c r="G10" s="21" t="n">
        <v>0.5</v>
      </c>
      <c r="H10" s="19" t="s">
        <v>101</v>
      </c>
      <c r="I10" s="18"/>
      <c r="J10" s="18" t="s">
        <v>85</v>
      </c>
    </row>
    <row r="11" customFormat="false" ht="33.75" hidden="false" customHeight="true" outlineLevel="0" collapsed="false">
      <c r="A11" s="19" t="n">
        <v>8</v>
      </c>
      <c r="B11" s="19" t="s">
        <v>100</v>
      </c>
      <c r="C11" s="19" t="s">
        <v>107</v>
      </c>
      <c r="D11" s="20" t="s">
        <v>16</v>
      </c>
      <c r="E11" s="20" t="s">
        <v>108</v>
      </c>
      <c r="F11" s="19" t="s">
        <v>103</v>
      </c>
      <c r="G11" s="21" t="n">
        <v>1</v>
      </c>
      <c r="H11" s="19" t="s">
        <v>104</v>
      </c>
      <c r="I11" s="18"/>
      <c r="J11" s="18" t="s">
        <v>85</v>
      </c>
    </row>
    <row r="12" customFormat="false" ht="33.75" hidden="false" customHeight="true" outlineLevel="0" collapsed="false">
      <c r="A12" s="19" t="n">
        <v>9</v>
      </c>
      <c r="B12" s="19" t="s">
        <v>100</v>
      </c>
      <c r="C12" s="19" t="s">
        <v>109</v>
      </c>
      <c r="D12" s="20" t="s">
        <v>110</v>
      </c>
      <c r="E12" s="20" t="s">
        <v>111</v>
      </c>
      <c r="F12" s="19" t="s">
        <v>103</v>
      </c>
      <c r="G12" s="21" t="n">
        <v>0.25</v>
      </c>
      <c r="H12" s="19" t="s">
        <v>107</v>
      </c>
      <c r="I12" s="18"/>
      <c r="J12" s="18" t="s">
        <v>85</v>
      </c>
    </row>
    <row r="13" customFormat="false" ht="33.75" hidden="false" customHeight="true" outlineLevel="0" collapsed="false">
      <c r="A13" s="19" t="n">
        <v>10</v>
      </c>
      <c r="B13" s="19" t="s">
        <v>100</v>
      </c>
      <c r="C13" s="19" t="s">
        <v>112</v>
      </c>
      <c r="D13" s="20" t="s">
        <v>113</v>
      </c>
      <c r="E13" s="20" t="s">
        <v>114</v>
      </c>
      <c r="F13" s="19" t="s">
        <v>115</v>
      </c>
      <c r="G13" s="21" t="n">
        <v>0.25</v>
      </c>
      <c r="H13" s="19" t="s">
        <v>107</v>
      </c>
      <c r="I13" s="18"/>
      <c r="J13" s="18" t="s">
        <v>85</v>
      </c>
    </row>
    <row r="14" customFormat="false" ht="33.75" hidden="false" customHeight="true" outlineLevel="0" collapsed="false">
      <c r="A14" s="19" t="n">
        <v>11</v>
      </c>
      <c r="B14" s="19" t="s">
        <v>100</v>
      </c>
      <c r="C14" s="19" t="s">
        <v>116</v>
      </c>
      <c r="D14" s="20" t="s">
        <v>117</v>
      </c>
      <c r="E14" s="20" t="s">
        <v>118</v>
      </c>
      <c r="F14" s="19" t="s">
        <v>119</v>
      </c>
      <c r="G14" s="21" t="n">
        <v>0.25</v>
      </c>
      <c r="H14" s="19" t="s">
        <v>84</v>
      </c>
      <c r="I14" s="18"/>
      <c r="J14" s="18" t="s">
        <v>85</v>
      </c>
    </row>
    <row r="15" customFormat="false" ht="33.75" hidden="false" customHeight="true" outlineLevel="0" collapsed="false">
      <c r="A15" s="19" t="n">
        <v>12</v>
      </c>
      <c r="B15" s="19" t="s">
        <v>100</v>
      </c>
      <c r="C15" s="19" t="s">
        <v>120</v>
      </c>
      <c r="D15" s="20" t="s">
        <v>29</v>
      </c>
      <c r="E15" s="20" t="s">
        <v>121</v>
      </c>
      <c r="F15" s="19" t="s">
        <v>115</v>
      </c>
      <c r="G15" s="21" t="n">
        <v>0.1</v>
      </c>
      <c r="H15" s="19" t="s">
        <v>84</v>
      </c>
      <c r="I15" s="18"/>
      <c r="J15" s="18" t="s">
        <v>85</v>
      </c>
    </row>
    <row r="16" customFormat="false" ht="33.75" hidden="false" customHeight="true" outlineLevel="0" collapsed="false">
      <c r="A16" s="19" t="n">
        <v>13</v>
      </c>
      <c r="B16" s="19" t="s">
        <v>100</v>
      </c>
      <c r="C16" s="19" t="s">
        <v>122</v>
      </c>
      <c r="D16" s="20" t="s">
        <v>32</v>
      </c>
      <c r="E16" s="20" t="s">
        <v>33</v>
      </c>
      <c r="F16" s="19" t="s">
        <v>115</v>
      </c>
      <c r="G16" s="21" t="n">
        <v>0.1</v>
      </c>
      <c r="H16" s="19" t="s">
        <v>84</v>
      </c>
      <c r="I16" s="18"/>
      <c r="J16" s="18" t="s">
        <v>85</v>
      </c>
    </row>
    <row r="17" customFormat="false" ht="33.75" hidden="false" customHeight="true" outlineLevel="0" collapsed="false">
      <c r="A17" s="16" t="n">
        <v>14</v>
      </c>
      <c r="B17" s="16" t="s">
        <v>123</v>
      </c>
      <c r="C17" s="16" t="s">
        <v>124</v>
      </c>
      <c r="D17" s="4" t="s">
        <v>125</v>
      </c>
      <c r="E17" s="4" t="s">
        <v>126</v>
      </c>
      <c r="F17" s="16" t="s">
        <v>103</v>
      </c>
      <c r="G17" s="17" t="n">
        <v>0.5</v>
      </c>
      <c r="H17" s="16" t="s">
        <v>86</v>
      </c>
      <c r="I17" s="18"/>
      <c r="J17" s="18" t="s">
        <v>85</v>
      </c>
    </row>
    <row r="18" customFormat="false" ht="33.75" hidden="false" customHeight="true" outlineLevel="0" collapsed="false">
      <c r="A18" s="16" t="n">
        <v>15</v>
      </c>
      <c r="B18" s="16" t="s">
        <v>123</v>
      </c>
      <c r="C18" s="16" t="s">
        <v>127</v>
      </c>
      <c r="D18" s="4" t="s">
        <v>128</v>
      </c>
      <c r="E18" s="4" t="s">
        <v>129</v>
      </c>
      <c r="F18" s="16" t="s">
        <v>103</v>
      </c>
      <c r="G18" s="17" t="n">
        <v>2</v>
      </c>
      <c r="H18" s="16" t="s">
        <v>124</v>
      </c>
      <c r="I18" s="18"/>
      <c r="J18" s="18" t="s">
        <v>85</v>
      </c>
    </row>
    <row r="19" customFormat="false" ht="33.75" hidden="false" customHeight="true" outlineLevel="0" collapsed="false">
      <c r="A19" s="16" t="n">
        <v>16</v>
      </c>
      <c r="B19" s="16" t="s">
        <v>123</v>
      </c>
      <c r="C19" s="16" t="s">
        <v>130</v>
      </c>
      <c r="D19" s="4" t="s">
        <v>131</v>
      </c>
      <c r="E19" s="4" t="s">
        <v>132</v>
      </c>
      <c r="F19" s="16" t="s">
        <v>103</v>
      </c>
      <c r="G19" s="17" t="n">
        <v>2</v>
      </c>
      <c r="H19" s="16" t="s">
        <v>127</v>
      </c>
      <c r="I19" s="18"/>
      <c r="J19" s="18" t="s">
        <v>85</v>
      </c>
    </row>
    <row r="20" customFormat="false" ht="33.75" hidden="false" customHeight="true" outlineLevel="0" collapsed="false">
      <c r="A20" s="16" t="n">
        <v>17</v>
      </c>
      <c r="B20" s="16" t="s">
        <v>123</v>
      </c>
      <c r="C20" s="16" t="s">
        <v>133</v>
      </c>
      <c r="D20" s="4" t="s">
        <v>134</v>
      </c>
      <c r="E20" s="4" t="s">
        <v>135</v>
      </c>
      <c r="F20" s="16" t="s">
        <v>103</v>
      </c>
      <c r="G20" s="17" t="n">
        <v>2</v>
      </c>
      <c r="H20" s="16" t="s">
        <v>130</v>
      </c>
      <c r="I20" s="18"/>
      <c r="J20" s="18" t="s">
        <v>85</v>
      </c>
    </row>
    <row r="21" customFormat="false" ht="33.75" hidden="false" customHeight="true" outlineLevel="0" collapsed="false">
      <c r="A21" s="16" t="n">
        <v>18</v>
      </c>
      <c r="B21" s="16" t="s">
        <v>123</v>
      </c>
      <c r="C21" s="16" t="s">
        <v>136</v>
      </c>
      <c r="D21" s="4" t="s">
        <v>137</v>
      </c>
      <c r="E21" s="4" t="s">
        <v>138</v>
      </c>
      <c r="F21" s="16" t="s">
        <v>103</v>
      </c>
      <c r="G21" s="17" t="n">
        <v>2</v>
      </c>
      <c r="H21" s="16" t="s">
        <v>133</v>
      </c>
      <c r="I21" s="18"/>
      <c r="J21" s="18" t="s">
        <v>85</v>
      </c>
    </row>
    <row r="22" customFormat="false" ht="33.75" hidden="false" customHeight="true" outlineLevel="0" collapsed="false">
      <c r="A22" s="16" t="n">
        <v>19</v>
      </c>
      <c r="B22" s="16" t="s">
        <v>123</v>
      </c>
      <c r="C22" s="16" t="s">
        <v>139</v>
      </c>
      <c r="D22" s="4" t="s">
        <v>140</v>
      </c>
      <c r="E22" s="4" t="s">
        <v>141</v>
      </c>
      <c r="F22" s="16" t="s">
        <v>103</v>
      </c>
      <c r="G22" s="17" t="n">
        <v>1</v>
      </c>
      <c r="H22" s="16" t="s">
        <v>133</v>
      </c>
      <c r="I22" s="18"/>
      <c r="J22" s="18" t="s">
        <v>85</v>
      </c>
    </row>
    <row r="23" customFormat="false" ht="33.75" hidden="false" customHeight="true" outlineLevel="0" collapsed="false">
      <c r="A23" s="16" t="n">
        <v>20</v>
      </c>
      <c r="B23" s="16" t="s">
        <v>123</v>
      </c>
      <c r="C23" s="16" t="s">
        <v>142</v>
      </c>
      <c r="D23" s="4" t="s">
        <v>143</v>
      </c>
      <c r="E23" s="4" t="s">
        <v>144</v>
      </c>
      <c r="F23" s="16" t="s">
        <v>103</v>
      </c>
      <c r="G23" s="17" t="n">
        <v>3</v>
      </c>
      <c r="H23" s="16" t="s">
        <v>133</v>
      </c>
      <c r="I23" s="18"/>
      <c r="J23" s="18" t="s">
        <v>85</v>
      </c>
    </row>
    <row r="24" customFormat="false" ht="33.75" hidden="false" customHeight="true" outlineLevel="0" collapsed="false">
      <c r="A24" s="16" t="n">
        <v>21</v>
      </c>
      <c r="B24" s="16" t="s">
        <v>123</v>
      </c>
      <c r="C24" s="16" t="s">
        <v>145</v>
      </c>
      <c r="D24" s="4" t="s">
        <v>146</v>
      </c>
      <c r="E24" s="4" t="s">
        <v>147</v>
      </c>
      <c r="F24" s="16" t="s">
        <v>148</v>
      </c>
      <c r="G24" s="17" t="n">
        <v>0.5</v>
      </c>
      <c r="H24" s="16" t="s">
        <v>93</v>
      </c>
      <c r="I24" s="18"/>
      <c r="J24" s="18" t="s">
        <v>85</v>
      </c>
    </row>
    <row r="25" customFormat="false" ht="33.75" hidden="false" customHeight="true" outlineLevel="0" collapsed="false">
      <c r="A25" s="16" t="n">
        <v>22</v>
      </c>
      <c r="B25" s="16" t="s">
        <v>149</v>
      </c>
      <c r="C25" s="16" t="s">
        <v>150</v>
      </c>
      <c r="D25" s="4" t="s">
        <v>151</v>
      </c>
      <c r="E25" s="4" t="s">
        <v>152</v>
      </c>
      <c r="F25" s="16" t="s">
        <v>119</v>
      </c>
      <c r="G25" s="17" t="n">
        <v>2</v>
      </c>
      <c r="H25" s="16" t="s">
        <v>84</v>
      </c>
      <c r="I25" s="18"/>
      <c r="J25" s="18" t="s">
        <v>85</v>
      </c>
    </row>
    <row r="26" customFormat="false" ht="33.75" hidden="false" customHeight="true" outlineLevel="0" collapsed="false">
      <c r="A26" s="16" t="n">
        <v>23</v>
      </c>
      <c r="B26" s="16" t="s">
        <v>149</v>
      </c>
      <c r="C26" s="16" t="s">
        <v>153</v>
      </c>
      <c r="D26" s="4" t="s">
        <v>154</v>
      </c>
      <c r="E26" s="4" t="s">
        <v>155</v>
      </c>
      <c r="F26" s="16" t="s">
        <v>119</v>
      </c>
      <c r="G26" s="17" t="n">
        <v>2</v>
      </c>
      <c r="H26" s="16" t="s">
        <v>156</v>
      </c>
      <c r="I26" s="18"/>
      <c r="J26" s="18" t="s">
        <v>85</v>
      </c>
    </row>
    <row r="27" customFormat="false" ht="33.75" hidden="false" customHeight="true" outlineLevel="0" collapsed="false">
      <c r="A27" s="16" t="n">
        <v>24</v>
      </c>
      <c r="B27" s="16" t="s">
        <v>149</v>
      </c>
      <c r="C27" s="16" t="s">
        <v>157</v>
      </c>
      <c r="D27" s="4" t="s">
        <v>158</v>
      </c>
      <c r="E27" s="4" t="s">
        <v>159</v>
      </c>
      <c r="F27" s="16" t="s">
        <v>160</v>
      </c>
      <c r="G27" s="17" t="n">
        <v>1</v>
      </c>
      <c r="H27" s="16" t="s">
        <v>153</v>
      </c>
      <c r="I27" s="18"/>
      <c r="J27" s="18" t="s">
        <v>85</v>
      </c>
    </row>
    <row r="28" customFormat="false" ht="33.75" hidden="false" customHeight="true" outlineLevel="0" collapsed="false">
      <c r="A28" s="16" t="n">
        <v>25</v>
      </c>
      <c r="B28" s="16" t="s">
        <v>149</v>
      </c>
      <c r="C28" s="16" t="s">
        <v>161</v>
      </c>
      <c r="D28" s="4" t="s">
        <v>162</v>
      </c>
      <c r="E28" s="4" t="s">
        <v>163</v>
      </c>
      <c r="F28" s="16" t="s">
        <v>119</v>
      </c>
      <c r="G28" s="17" t="n">
        <v>0.5</v>
      </c>
      <c r="H28" s="16" t="s">
        <v>157</v>
      </c>
      <c r="I28" s="18"/>
      <c r="J28" s="18" t="s">
        <v>85</v>
      </c>
    </row>
    <row r="29" customFormat="false" ht="33.75" hidden="false" customHeight="true" outlineLevel="0" collapsed="false">
      <c r="A29" s="16" t="n">
        <v>26</v>
      </c>
      <c r="B29" s="16" t="s">
        <v>149</v>
      </c>
      <c r="C29" s="16" t="s">
        <v>164</v>
      </c>
      <c r="D29" s="4" t="s">
        <v>165</v>
      </c>
      <c r="E29" s="4" t="s">
        <v>166</v>
      </c>
      <c r="F29" s="16" t="s">
        <v>119</v>
      </c>
      <c r="G29" s="17" t="n">
        <v>0.5</v>
      </c>
      <c r="H29" s="16" t="s">
        <v>161</v>
      </c>
      <c r="I29" s="18"/>
      <c r="J29" s="18" t="s">
        <v>85</v>
      </c>
    </row>
    <row r="30" customFormat="false" ht="33.75" hidden="false" customHeight="true" outlineLevel="0" collapsed="false">
      <c r="A30" s="16" t="n">
        <v>27</v>
      </c>
      <c r="B30" s="16" t="s">
        <v>167</v>
      </c>
      <c r="C30" s="16" t="s">
        <v>168</v>
      </c>
      <c r="D30" s="4" t="s">
        <v>169</v>
      </c>
      <c r="E30" s="4" t="s">
        <v>170</v>
      </c>
      <c r="F30" s="16" t="s">
        <v>103</v>
      </c>
      <c r="G30" s="17" t="n">
        <v>2</v>
      </c>
      <c r="H30" s="16" t="s">
        <v>133</v>
      </c>
      <c r="I30" s="18"/>
      <c r="J30" s="18" t="s">
        <v>85</v>
      </c>
    </row>
    <row r="31" customFormat="false" ht="33.75" hidden="false" customHeight="true" outlineLevel="0" collapsed="false">
      <c r="A31" s="16" t="n">
        <v>28</v>
      </c>
      <c r="B31" s="16" t="s">
        <v>167</v>
      </c>
      <c r="C31" s="16" t="s">
        <v>171</v>
      </c>
      <c r="D31" s="4" t="s">
        <v>172</v>
      </c>
      <c r="E31" s="4" t="s">
        <v>173</v>
      </c>
      <c r="F31" s="16" t="s">
        <v>103</v>
      </c>
      <c r="G31" s="17" t="n">
        <v>1</v>
      </c>
      <c r="H31" s="16" t="s">
        <v>168</v>
      </c>
      <c r="I31" s="18"/>
      <c r="J31" s="18" t="s">
        <v>85</v>
      </c>
    </row>
    <row r="33" customFormat="false" ht="15" hidden="false" customHeight="false" outlineLevel="0" collapsed="false">
      <c r="B33" s="22" t="s">
        <v>174</v>
      </c>
    </row>
    <row r="34" customFormat="false" ht="15" hidden="false" customHeight="false" outlineLevel="0" collapsed="false">
      <c r="B34" s="23" t="s">
        <v>79</v>
      </c>
      <c r="G34" s="24" t="n">
        <f aca="false">SUMIFS($G$4:$G$31,$B$4:$B$31,$B34)</f>
        <v>37</v>
      </c>
      <c r="H34" s="23" t="str">
        <f aca="false">COUNTIFS($B$4:$B$31,$B34,$J$4:$J$31,"Done")&amp;" / "&amp;COUNTIF($B$4:$B$31,$B34)</f>
        <v>0 / 5</v>
      </c>
    </row>
    <row r="35" customFormat="false" ht="15" hidden="false" customHeight="false" outlineLevel="0" collapsed="false">
      <c r="B35" s="23" t="s">
        <v>100</v>
      </c>
      <c r="G35" s="24" t="n">
        <f aca="false">SUMIFS($G$4:$G$31,$B$4:$B$31,$B35)</f>
        <v>2.95</v>
      </c>
      <c r="H35" s="23" t="str">
        <f aca="false">COUNTIFS($B$4:$B$31,$B35,$J$4:$J$31,"Done")&amp;" / "&amp;COUNTIF($B$4:$B$31,$B35)</f>
        <v>0 / 8</v>
      </c>
    </row>
    <row r="36" customFormat="false" ht="15" hidden="false" customHeight="false" outlineLevel="0" collapsed="false">
      <c r="B36" s="23" t="s">
        <v>123</v>
      </c>
      <c r="G36" s="24" t="n">
        <f aca="false">SUMIFS($G$4:$G$31,$B$4:$B$31,$B36)</f>
        <v>13</v>
      </c>
      <c r="H36" s="23" t="str">
        <f aca="false">COUNTIFS($B$4:$B$31,$B36,$J$4:$J$31,"Done")&amp;" / "&amp;COUNTIF($B$4:$B$31,$B36)</f>
        <v>0 / 8</v>
      </c>
    </row>
    <row r="37" customFormat="false" ht="15" hidden="false" customHeight="false" outlineLevel="0" collapsed="false">
      <c r="B37" s="23" t="s">
        <v>149</v>
      </c>
      <c r="G37" s="24" t="n">
        <f aca="false">SUMIFS($G$4:$G$31,$B$4:$B$31,$B37)</f>
        <v>6</v>
      </c>
      <c r="H37" s="23" t="str">
        <f aca="false">COUNTIFS($B$4:$B$31,$B37,$J$4:$J$31,"Done")&amp;" / "&amp;COUNTIF($B$4:$B$31,$B37)</f>
        <v>0 / 5</v>
      </c>
    </row>
    <row r="38" customFormat="false" ht="15" hidden="false" customHeight="false" outlineLevel="0" collapsed="false">
      <c r="B38" s="23" t="s">
        <v>167</v>
      </c>
      <c r="G38" s="24" t="n">
        <f aca="false">SUMIFS($G$4:$G$31,$B$4:$B$31,$B38)</f>
        <v>3</v>
      </c>
      <c r="H38" s="23" t="str">
        <f aca="false">COUNTIFS($B$4:$B$31,$B38,$J$4:$J$31,"Done")&amp;" / "&amp;COUNTIF($B$4:$B$31,$B38)</f>
        <v>0 / 2</v>
      </c>
    </row>
    <row r="39" customFormat="false" ht="15" hidden="false" customHeight="false" outlineLevel="0" collapsed="false">
      <c r="B39" s="25" t="s">
        <v>59</v>
      </c>
      <c r="G39" s="26" t="n">
        <f aca="false">SUM($G$4:$G$31)</f>
        <v>61.95</v>
      </c>
      <c r="H39" s="25" t="str">
        <f aca="false">COUNTIF($J$4:$J$31,"Done")&amp;" / "&amp;COUNTA($J$4:$J$31)</f>
        <v>0 / 28</v>
      </c>
    </row>
    <row r="41" customFormat="false" ht="15" hidden="false" customHeight="false" outlineLevel="0" collapsed="false">
      <c r="B41" s="23" t="s">
        <v>175</v>
      </c>
      <c r="G41" s="27" t="n">
        <f aca="false">SUM($G$4:$G$31)-SUMIFS($G$4:$G$31,$B$4:$B$31,"Track 0 — Company &amp; supply (not code)")</f>
        <v>24.95</v>
      </c>
    </row>
    <row r="43" customFormat="false" ht="15" hidden="false" customHeight="false" outlineLevel="0" collapsed="false">
      <c r="B43" s="28" t="s">
        <v>176</v>
      </c>
    </row>
    <row r="44" customFormat="false" ht="15" hidden="false" customHeight="false" outlineLevel="0" collapsed="false">
      <c r="B44" s="28" t="s">
        <v>177</v>
      </c>
    </row>
    <row r="45" customFormat="false" ht="15" hidden="false" customHeight="false" outlineLevel="0" collapsed="false">
      <c r="B45" s="28" t="s">
        <v>178</v>
      </c>
    </row>
    <row r="46" customFormat="false" ht="15" hidden="false" customHeight="false" outlineLevel="0" collapsed="false">
      <c r="B46" s="28" t="s">
        <v>179</v>
      </c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6"/>
    <col collapsed="false" customWidth="true" hidden="false" outlineLevel="0" max="3" min="3" style="0" width="76"/>
  </cols>
  <sheetData>
    <row r="1" customFormat="false" ht="31.5" hidden="false" customHeight="true" outlineLevel="0" collapsed="false">
      <c r="A1" s="1" t="s">
        <v>180</v>
      </c>
      <c r="B1" s="1"/>
      <c r="C1" s="1"/>
    </row>
    <row r="3" customFormat="false" ht="15" hidden="false" customHeight="false" outlineLevel="0" collapsed="false">
      <c r="A3" s="29" t="s">
        <v>181</v>
      </c>
      <c r="B3" s="29" t="s">
        <v>182</v>
      </c>
      <c r="C3" s="29" t="s">
        <v>183</v>
      </c>
    </row>
    <row r="4" customFormat="false" ht="31.5" hidden="false" customHeight="true" outlineLevel="0" collapsed="false">
      <c r="A4" s="4" t="s">
        <v>184</v>
      </c>
      <c r="B4" s="4" t="s">
        <v>185</v>
      </c>
      <c r="C4" s="4" t="s">
        <v>186</v>
      </c>
    </row>
    <row r="5" customFormat="false" ht="31.5" hidden="false" customHeight="true" outlineLevel="0" collapsed="false">
      <c r="A5" s="4" t="s">
        <v>187</v>
      </c>
      <c r="B5" s="4" t="s">
        <v>188</v>
      </c>
      <c r="C5" s="4" t="s">
        <v>189</v>
      </c>
    </row>
    <row r="6" customFormat="false" ht="31.5" hidden="false" customHeight="true" outlineLevel="0" collapsed="false">
      <c r="A6" s="4" t="s">
        <v>190</v>
      </c>
      <c r="B6" s="4" t="s">
        <v>191</v>
      </c>
      <c r="C6" s="4" t="s">
        <v>192</v>
      </c>
    </row>
    <row r="7" customFormat="false" ht="31.5" hidden="false" customHeight="true" outlineLevel="0" collapsed="false">
      <c r="A7" s="4" t="s">
        <v>193</v>
      </c>
      <c r="B7" s="4" t="s">
        <v>194</v>
      </c>
      <c r="C7" s="4" t="s">
        <v>195</v>
      </c>
    </row>
    <row r="8" customFormat="false" ht="31.5" hidden="false" customHeight="true" outlineLevel="0" collapsed="false">
      <c r="A8" s="4" t="s">
        <v>196</v>
      </c>
      <c r="B8" s="4" t="s">
        <v>197</v>
      </c>
      <c r="C8" s="4" t="s">
        <v>198</v>
      </c>
    </row>
    <row r="9" customFormat="false" ht="31.5" hidden="false" customHeight="true" outlineLevel="0" collapsed="false">
      <c r="A9" s="4" t="s">
        <v>199</v>
      </c>
      <c r="B9" s="4" t="s">
        <v>200</v>
      </c>
      <c r="C9" s="4" t="s">
        <v>201</v>
      </c>
    </row>
    <row r="10" customFormat="false" ht="31.5" hidden="false" customHeight="true" outlineLevel="0" collapsed="false">
      <c r="A10" s="4" t="s">
        <v>202</v>
      </c>
      <c r="B10" s="4" t="s">
        <v>191</v>
      </c>
      <c r="C10" s="4" t="s">
        <v>203</v>
      </c>
    </row>
    <row r="11" customFormat="false" ht="31.5" hidden="false" customHeight="true" outlineLevel="0" collapsed="false">
      <c r="A11" s="4" t="s">
        <v>204</v>
      </c>
      <c r="B11" s="4" t="s">
        <v>191</v>
      </c>
      <c r="C11" s="4" t="s">
        <v>205</v>
      </c>
    </row>
    <row r="12" customFormat="false" ht="31.5" hidden="false" customHeight="true" outlineLevel="0" collapsed="false">
      <c r="A12" s="4" t="s">
        <v>206</v>
      </c>
      <c r="B12" s="4" t="s">
        <v>207</v>
      </c>
      <c r="C12" s="4" t="s">
        <v>208</v>
      </c>
    </row>
    <row r="13" customFormat="false" ht="31.5" hidden="false" customHeight="true" outlineLevel="0" collapsed="false">
      <c r="A13" s="4" t="s">
        <v>209</v>
      </c>
      <c r="B13" s="4" t="s">
        <v>210</v>
      </c>
      <c r="C13" s="4" t="s">
        <v>211</v>
      </c>
    </row>
    <row r="14" customFormat="false" ht="31.5" hidden="false" customHeight="true" outlineLevel="0" collapsed="false">
      <c r="A14" s="4" t="s">
        <v>212</v>
      </c>
      <c r="B14" s="4" t="s">
        <v>213</v>
      </c>
      <c r="C14" s="4" t="s">
        <v>214</v>
      </c>
    </row>
    <row r="15" customFormat="false" ht="31.5" hidden="false" customHeight="true" outlineLevel="0" collapsed="false">
      <c r="A15" s="4" t="s">
        <v>215</v>
      </c>
      <c r="B15" s="4" t="s">
        <v>216</v>
      </c>
      <c r="C15" s="4" t="s">
        <v>217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4"/>
    <col collapsed="false" customWidth="true" hidden="false" outlineLevel="0" max="3" min="3" style="0" width="34"/>
    <col collapsed="false" customWidth="true" hidden="false" outlineLevel="0" max="4" min="4" style="0" width="60"/>
  </cols>
  <sheetData>
    <row r="1" customFormat="false" ht="31.5" hidden="false" customHeight="true" outlineLevel="0" collapsed="false">
      <c r="A1" s="1" t="s">
        <v>218</v>
      </c>
      <c r="B1" s="1"/>
      <c r="C1" s="1"/>
      <c r="D1" s="1"/>
    </row>
    <row r="3" customFormat="false" ht="15" hidden="false" customHeight="false" outlineLevel="0" collapsed="false">
      <c r="A3" s="30" t="s">
        <v>219</v>
      </c>
      <c r="B3" s="30"/>
      <c r="C3" s="30"/>
      <c r="D3" s="30"/>
    </row>
    <row r="5" customFormat="false" ht="15" hidden="false" customHeight="false" outlineLevel="0" collapsed="false">
      <c r="A5" s="29" t="s">
        <v>220</v>
      </c>
      <c r="B5" s="29" t="s">
        <v>221</v>
      </c>
      <c r="C5" s="29" t="s">
        <v>222</v>
      </c>
      <c r="D5" s="29" t="s">
        <v>223</v>
      </c>
    </row>
    <row r="6" customFormat="false" ht="30" hidden="false" customHeight="true" outlineLevel="0" collapsed="false">
      <c r="A6" s="4" t="s">
        <v>224</v>
      </c>
      <c r="B6" s="31" t="n">
        <v>0</v>
      </c>
      <c r="C6" s="4" t="s">
        <v>225</v>
      </c>
      <c r="D6" s="4" t="s">
        <v>226</v>
      </c>
    </row>
    <row r="7" customFormat="false" ht="30" hidden="false" customHeight="true" outlineLevel="0" collapsed="false">
      <c r="A7" s="4" t="s">
        <v>227</v>
      </c>
      <c r="B7" s="31" t="n">
        <v>0</v>
      </c>
      <c r="C7" s="4" t="s">
        <v>228</v>
      </c>
      <c r="D7" s="4" t="s">
        <v>229</v>
      </c>
    </row>
    <row r="8" customFormat="false" ht="30" hidden="false" customHeight="true" outlineLevel="0" collapsed="false">
      <c r="A8" s="4" t="s">
        <v>230</v>
      </c>
      <c r="B8" s="31" t="n">
        <v>0</v>
      </c>
      <c r="C8" s="4" t="s">
        <v>228</v>
      </c>
      <c r="D8" s="4" t="s">
        <v>231</v>
      </c>
    </row>
    <row r="9" customFormat="false" ht="30" hidden="false" customHeight="true" outlineLevel="0" collapsed="false">
      <c r="A9" s="4" t="s">
        <v>232</v>
      </c>
      <c r="B9" s="31" t="n">
        <v>0</v>
      </c>
      <c r="C9" s="4" t="s">
        <v>233</v>
      </c>
      <c r="D9" s="4" t="s">
        <v>234</v>
      </c>
    </row>
    <row r="10" customFormat="false" ht="30" hidden="false" customHeight="true" outlineLevel="0" collapsed="false">
      <c r="A10" s="4" t="s">
        <v>235</v>
      </c>
      <c r="B10" s="31" t="n">
        <v>0</v>
      </c>
      <c r="C10" s="4" t="s">
        <v>228</v>
      </c>
      <c r="D10" s="4" t="s">
        <v>236</v>
      </c>
    </row>
    <row r="11" customFormat="false" ht="30" hidden="false" customHeight="true" outlineLevel="0" collapsed="false">
      <c r="A11" s="4" t="s">
        <v>237</v>
      </c>
      <c r="B11" s="31" t="n">
        <v>0</v>
      </c>
      <c r="C11" s="4" t="s">
        <v>228</v>
      </c>
      <c r="D11" s="4" t="s">
        <v>238</v>
      </c>
    </row>
    <row r="14" customFormat="false" ht="15" hidden="false" customHeight="false" outlineLevel="0" collapsed="false">
      <c r="A14" s="32" t="s">
        <v>239</v>
      </c>
    </row>
    <row r="15" customFormat="false" ht="15" hidden="false" customHeight="false" outlineLevel="0" collapsed="false">
      <c r="A15" s="33" t="str">
        <f aca="false">IF(B6=0,"No live salons and no completed bookings. Every number above is zero, and no amount of code changes that. Track 0 first.","Salons are live — finish Track 1 so bookings can actually complete.")</f>
        <v>No live salons and no completed bookings. Every number above is zero, and no amount of code changes that. Track 0 first.</v>
      </c>
      <c r="B15" s="33"/>
      <c r="C15" s="33"/>
      <c r="D15" s="33"/>
    </row>
  </sheetData>
  <mergeCells count="3">
    <mergeCell ref="A1:D1"/>
    <mergeCell ref="A3:D3"/>
    <mergeCell ref="A15:D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2026-08-16T06:30:15Z</dcterms:created>
  <dc:creator>openpyxl</dc:creator>
  <dc:description/>
  <dc:language>en-US</dc:language>
  <cp:lastModifiedBy/>
  <dcterms:modified xsi:type="dcterms:W3CDTF">2026-08-16T06:30:15Z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